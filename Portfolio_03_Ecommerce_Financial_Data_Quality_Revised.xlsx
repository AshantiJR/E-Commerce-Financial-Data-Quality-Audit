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6c3a69ecfe4e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ject Notes" sheetId="1" r:id="R6fdbb931348b4cba"/>
    <x:sheet xmlns:r="http://schemas.openxmlformats.org/officeDocument/2006/relationships" name="Product Master" sheetId="2" r:id="Rfbb4ee0d49784b2b"/>
    <x:sheet xmlns:r="http://schemas.openxmlformats.org/officeDocument/2006/relationships" name="Order Data" sheetId="3" r:id="Rcdad8e10fda7493d"/>
    <x:sheet xmlns:r="http://schemas.openxmlformats.org/officeDocument/2006/relationships" name="Exception Summary" sheetId="4" r:id="R72d95f7ccc7f49a4"/>
    <x:sheet xmlns:r="http://schemas.openxmlformats.org/officeDocument/2006/relationships" name="Settlement Reconciliation" sheetId="5" r:id="Rf1af46eef7b6448e"/>
    <x:sheet xmlns:r="http://schemas.openxmlformats.org/officeDocument/2006/relationships" name="Dashboard" sheetId="6" r:id="R2ffda8a5eb8440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$#,##0.00;[Red]-$#,##0.00"/>
    <x:numFmt numFmtId="201" formatCode="mm/dd/yyyy"/>
    <x:numFmt numFmtId="202" formatCode="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3349"/>
      </x:patternFill>
    </x:fill>
    <x:fill>
      <x:patternFill patternType="solid">
        <x:fgColor rgb="FFF5F1E8"/>
      </x:patternFill>
    </x:fill>
    <x:fill>
      <x:patternFill patternType="solid">
        <x:fgColor rgb="FF476A8A"/>
      </x:patternFill>
    </x:fill>
    <x:fill>
      <x:patternFill patternType="solid">
        <x:fgColor rgb="FF283618"/>
      </x:patternFill>
    </x:fill>
  </x:fills>
  <x:borders count="4">
    <x:border/>
    <x:border/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2" fillId="3" borderId="0" xfId="0" applyNumberFormat="1" applyFont="1" applyFill="1" applyBorder="1"/>
    <x:xf numFmtId="200" fontId="2" fillId="3" borderId="1" xfId="0" applyNumberFormat="1" applyFont="1" applyFill="1" applyBorder="1"/>
    <x:xf numFmtId="0" fontId="0" fillId="0" borderId="0" xfId="0" applyNumberFormat="1" applyFont="1" applyFill="1" applyBorder="1"/>
    <x:xf numFmtId="202" fontId="0" fillId="0" borderId="0" xfId="0" applyNumberFormat="1" applyFont="1" applyFill="1" applyBorder="1"/>
    <x:xf numFmtId="202" fontId="2" fillId="3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/>
    <x:xf numFmtId="202" fontId="0" fillId="0" borderId="2" xfId="0" applyNumberFormat="1" applyFont="1" applyFill="1" applyBorder="1"/>
    <x:xf numFmtId="0" fontId="0" fillId="0" xfId="0" applyNumberFormat="1" applyFont="1" applyFill="1" applyBorder="0"/>
    <x:xf numFmtId="200" fontId="0" fillId="0" xfId="0" applyNumberFormat="1" applyFont="1" applyFill="1" applyBorder="0"/>
    <x:xf numFmtId="202" fontId="0" fillId="0" xfId="0" applyNumberFormat="1" applyFont="1" applyFill="1" applyBorder="0"/>
    <x:xf numFmtId="0" fontId="0" fillId="0" borderId="3" xfId="0" applyNumberFormat="1" applyFont="1" applyFill="1" applyBorder="1"/>
    <x:xf numFmtId="202" fontId="0" fillId="0" borderId="3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202" fontId="0" fillId="0" borderId="2" xfId="0" applyNumberFormat="1" applyFont="1" applyFill="1" applyBorder="1" applyAlignment="1">
      <x:alignment wrapText="1"/>
    </x:xf>
    <x:xf numFmtId="0" fontId="0" fillId="0" xfId="0" applyNumberFormat="1" applyFont="1" applyFill="1" applyBorder="0" applyAlignment="1">
      <x:alignment wrapText="1"/>
    </x:xf>
    <x:xf numFmtId="200" fontId="0" fillId="0" xfId="0" applyNumberFormat="1" applyFont="1" applyFill="1" applyBorder="0" applyAlignment="1">
      <x:alignment wrapText="1"/>
    </x:xf>
    <x:xf numFmtId="202" fontId="0" fillId="0" xfId="0" applyNumberFormat="1" applyFont="1" applyFill="1" applyBorder="0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202" fontId="0" fillId="0" borderId="3" xfId="0" applyNumberFormat="1" applyFont="1" applyFill="1" applyBorder="1" applyAlignment="1">
      <x:alignment wrapText="1"/>
    </x:xf>
  </x:cellXfs>
  <x:cellStyles count="1">
    <x:cellStyle name="Normal" xfId="0"/>
  </x:cellStyles>
  <x:dxfs count="5">
    <x:dxf>
      <x:font>
        <x:b/>
      </x:font>
      <x:fill>
        <x:patternFill>
          <x:bgColor rgb="FFF4CCCC"/>
        </x:patternFill>
      </x:fill>
    </x:dxf>
    <x:dxf>
      <x:fill>
        <x:patternFill>
          <x:bgColor rgb="FFD9EAD3"/>
        </x:patternFill>
      </x:fill>
    </x:dxf>
    <x:dxf>
      <x:font>
        <x:b/>
      </x:font>
      <x:fill>
        <x:patternFill>
          <x:bgColor rgb="FFFCE5CD"/>
        </x:patternFill>
      </x:fill>
    </x:dxf>
    <x:dxf>
      <x:font>
        <x:b/>
      </x:font>
      <x:fill>
        <x:patternFill>
          <x:bgColor rgb="FFDDE5D1"/>
        </x:patternFill>
      </x:fill>
    </x:dxf>
    <x:dxf>
      <x:font>
        <x:b/>
      </x:font>
      <x:fill>
        <x:patternFill>
          <x:bgColor rgb="FFF6E2C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928a01996545e5" /><Relationship Type="http://schemas.openxmlformats.org/officeDocument/2006/relationships/theme" Target="/xl/theme/theme1.xml" Id="R3c02add95c774871" /><Relationship Type="http://schemas.openxmlformats.org/officeDocument/2006/relationships/sharedStrings" Target="/xl/sharedStrings.xml" Id="R20e95ce8680644e2" /><Relationship Type="http://schemas.openxmlformats.org/officeDocument/2006/relationships/worksheet" Target="/xl/worksheets/sheet1.xml" Id="R6fdbb931348b4cba" /><Relationship Type="http://schemas.openxmlformats.org/officeDocument/2006/relationships/worksheet" Target="/xl/worksheets/sheet2.xml" Id="Rfbb4ee0d49784b2b" /><Relationship Type="http://schemas.openxmlformats.org/officeDocument/2006/relationships/worksheet" Target="/xl/worksheets/sheet3.xml" Id="Rcdad8e10fda7493d" /><Relationship Type="http://schemas.openxmlformats.org/officeDocument/2006/relationships/worksheet" Target="/xl/worksheets/sheet4.xml" Id="R72d95f7ccc7f49a4" /><Relationship Type="http://schemas.openxmlformats.org/officeDocument/2006/relationships/worksheet" Target="/xl/worksheets/sheet5.xml" Id="Rf1af46eef7b6448e" /><Relationship Type="http://schemas.openxmlformats.org/officeDocument/2006/relationships/worksheet" Target="/xl/worksheets/sheet6.xml" Id="R2ffda8a5eb84409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25500b6137d477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Expected vs Recorded Settlement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Expected Net</c:v>
          </c:tx>
          <c:cat>
            <c:strRef>
              <c:f>'Settlement Reconciliation'!$A$4:$A$6</c:f>
              <c:strCache>
                <c:ptCount val="0"/>
              </c:strCache>
            </c:strRef>
          </c:cat>
          <c:val>
            <c:numRef>
              <c:f>'Settlement Reconciliation'!$B$4:$B$6</c:f>
              <c:numCache>
                <c:formatCode>$#,##0.00;[Red]-$#,##0.00</c:formatCode>
                <c:ptCount val="0"/>
              </c:numCache>
            </c:numRef>
          </c:val>
        </c:ser>
        <c:ser>
          <c:idx val="1"/>
          <c:order val="1"/>
          <c:tx>
            <c:v>Recorded Settlement</c:v>
          </c:tx>
          <c:cat>
            <c:strRef>
              <c:f>'Settlement Reconciliation'!$A$4:$A$6</c:f>
              <c:strCache>
                <c:ptCount val="0"/>
              </c:strCache>
            </c:strRef>
          </c:cat>
          <c:val>
            <c:numRef>
              <c:f>'Settlement Reconciliation'!$C$4:$C$6</c:f>
              <c:numCache>
                <c:formatCode>$#,##0.00;[Red]-$#,##0.00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7</xdr:row>
      <xdr:rowOff>0</xdr:rowOff>
    </xdr:from>
    <xdr:to>
      <xdr:col>8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25500b6137d477b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9c660b1724314467" /></Relationships>
</file>

<file path=xl/worksheets/sheet1.xml><?xml version="1.0" encoding="utf-8"?>
<x:worksheet xmlns:x="http://schemas.openxmlformats.org/spreadsheetml/2006/main">
  <x:sheetFormatPr defaultRowHeight="15"/>
  <x:cols>
    <x:col min="2" max="2" width="24" hidden="0" customWidth="1"/>
    <x:col min="3" max="3" width="72" hidden="0" customWidth="1"/>
  </x:cols>
  <x:sheetData>
    <x:row r="2" ht="28" customHeight="1">
      <x:c r="B2" s="4" t="str">
        <x:v>E-Commerce Financial Data Quality Audit | Simulated Portfolio</x:v>
      </x:c>
    </x:row>
    <x:row r="4">
      <x:c r="B4" s="9" t="str">
        <x:v>Portfolio Project</x:v>
      </x:c>
      <x:c r="C4" s="12" t="str">
        <x:v>E-Commerce Financial Data Quality &amp; Revenue Audit</x:v>
      </x:c>
    </x:row>
    <x:row r="5">
      <x:c r="B5" s="9" t="str">
        <x:v>Business</x:v>
      </x:c>
      <x:c r="C5" s="12" t="str">
        <x:v>Juniper Cart Co. (fictional online retailer)</x:v>
      </x:c>
    </x:row>
    <x:row r="6">
      <x:c r="B6" s="9" t="str">
        <x:v>Period</x:v>
      </x:c>
      <x:c r="C6" s="12" t="str">
        <x:v>Q2 2026</x:v>
      </x:c>
    </x:row>
    <x:row r="7">
      <x:c r="B7" s="9" t="str">
        <x:v>Purpose</x:v>
      </x:c>
      <x:c r="C7" s="12" t="str">
        <x:v>Demonstrate financial data validation, exception handling, reconciliation, and reporting using order-level data.</x:v>
      </x:c>
    </x:row>
    <x:row r="8">
      <x:c r="B8" s="9" t="str">
        <x:v>Dataset</x:v>
      </x:c>
      <x:c r="C8" s="12" t="str">
        <x:v>240 simulated orders with payments, refunds, fees, taxes, product SKUs, and fulfillment status.</x:v>
      </x:c>
    </x:row>
    <x:row r="9">
      <x:c r="B9" s="9" t="str">
        <x:v>Work Completed</x:v>
      </x:c>
      <x:c r="C9" s="12" t="str">
        <x:v>Built validation controls for duplicates, missing fields, invalid SKUs, amount mismatches, refund exceptions, and settlement reconciliation.</x:v>
      </x:c>
    </x:row>
    <x:row r="10">
      <x:c r="B10" s="9" t="str">
        <x:v>Key Controls</x:v>
      </x:c>
      <x:c r="C10" s="12" t="str">
        <x:v>Order uniqueness; required-field completeness; SKU validity; gross-to-net calculation; refund logic; settlement tie-out.</x:v>
      </x:c>
    </x:row>
    <x:row r="11">
      <x:c r="B11" s="9" t="str">
        <x:v>Disclosure</x:v>
      </x:c>
      <x:c r="C11" s="12" t="str">
        <x:v>All names, transactions, and financial results are simulated for portfolio demonstration.</x:v>
      </x:c>
    </x:row>
    <x:row r="12">
      <x:c r="B12" s="9" t="str">
        <x:v>Resume Bullet 1</x:v>
      </x:c>
      <x:c r="C12" s="12" t="str">
        <x:v>Audited 240 simulated e-commerce transactions using Excel controls for uniqueness, completeness, reference integrity, and financial calculation accuracy.</x:v>
      </x:c>
    </x:row>
    <x:row r="13">
      <x:c r="B13" s="9" t="str">
        <x:v>Resume Bullet 2</x:v>
      </x:c>
      <x:c r="C13" s="12" t="str">
        <x:v>Built exception reporting and settlement reconciliation that isolated data-quality issues and quantified their financial impact.</x:v>
      </x:c>
    </x:row>
  </x:sheetData>
  <x:mergeCells>
    <x:mergeCell ref="B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</x:cols>
  <x:sheetData>
    <x:row r="1" ht="26" customHeight="1">
      <x:c r="A1" s="18" t="str">
        <x:v>SKU</x:v>
      </x:c>
      <x:c r="B1" s="18" t="str">
        <x:v>Product</x:v>
      </x:c>
      <x:c r="C1" s="18" t="str">
        <x:v>Category</x:v>
      </x:c>
      <x:c r="D1" s="18" t="str">
        <x:v>Unit Price</x:v>
      </x:c>
    </x:row>
    <x:row r="2">
      <x:c r="A2" t="str">
        <x:v>SKU-101</x:v>
      </x:c>
      <x:c r="B2" t="str">
        <x:v>Moon Mug</x:v>
      </x:c>
      <x:c r="C2" t="str">
        <x:v>Home</x:v>
      </x:c>
      <x:c r="D2" s="24" t="n">
        <x:v>24</x:v>
      </x:c>
    </x:row>
    <x:row r="3">
      <x:c r="A3" t="str">
        <x:v>SKU-102</x:v>
      </x:c>
      <x:c r="B3" t="str">
        <x:v>Forest Tote</x:v>
      </x:c>
      <x:c r="C3" t="str">
        <x:v>Accessories</x:v>
      </x:c>
      <x:c r="D3" s="24" t="n">
        <x:v>28</x:v>
      </x:c>
    </x:row>
    <x:row r="4">
      <x:c r="A4" t="str">
        <x:v>SKU-103</x:v>
      </x:c>
      <x:c r="B4" t="str">
        <x:v>Studio Notebook</x:v>
      </x:c>
      <x:c r="C4" t="str">
        <x:v>Stationery</x:v>
      </x:c>
      <x:c r="D4" s="24" t="n">
        <x:v>16</x:v>
      </x:c>
    </x:row>
    <x:row r="5">
      <x:c r="A5" t="str">
        <x:v>SKU-104</x:v>
      </x:c>
      <x:c r="B5" t="str">
        <x:v>Moss Hoodie</x:v>
      </x:c>
      <x:c r="C5" t="str">
        <x:v>Apparel</x:v>
      </x:c>
      <x:c r="D5" s="24" t="n">
        <x:v>58</x:v>
      </x:c>
    </x:row>
    <x:row r="6">
      <x:c r="A6" t="str">
        <x:v>SKU-105</x:v>
      </x:c>
      <x:c r="B6" t="str">
        <x:v>Blueberry Tee</x:v>
      </x:c>
      <x:c r="C6" t="str">
        <x:v>Apparel</x:v>
      </x:c>
      <x:c r="D6" s="24" t="n">
        <x:v>32</x:v>
      </x:c>
    </x:row>
    <x:row r="7">
      <x:c r="A7" t="str">
        <x:v>SKU-106</x:v>
      </x:c>
      <x:c r="B7" t="str">
        <x:v>Candle Set</x:v>
      </x:c>
      <x:c r="C7" t="str">
        <x:v>Home</x:v>
      </x:c>
      <x:c r="D7" s="24" t="n">
        <x:v>36</x:v>
      </x:c>
    </x:row>
    <x:row r="8">
      <x:c r="A8" t="str">
        <x:v>SKU-107</x:v>
      </x:c>
      <x:c r="B8" t="str">
        <x:v>Sticker Pack</x:v>
      </x:c>
      <x:c r="C8" t="str">
        <x:v>Stationery</x:v>
      </x:c>
      <x:c r="D8" s="24" t="n">
        <x:v>9</x:v>
      </x:c>
    </x:row>
    <x:row r="9">
      <x:c r="A9" t="str">
        <x:v>SKU-108</x:v>
      </x:c>
      <x:c r="B9" t="str">
        <x:v>Desk Mat</x:v>
      </x:c>
      <x:c r="C9" t="str">
        <x:v>Office</x:v>
      </x:c>
      <x:c r="D9" s="24" t="n">
        <x:v>42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3" hidden="0" customWidth="1"/>
    <x:col min="4" max="4" width="12" hidden="0" customWidth="1"/>
    <x:col min="5" max="5" width="8" hidden="0" customWidth="1"/>
    <x:col min="6" max="6" width="12" hidden="0" customWidth="1"/>
    <x:col min="7" max="7" width="13" hidden="0" customWidth="1"/>
    <x:col min="8" max="8" width="11" hidden="0" customWidth="1"/>
    <x:col min="9" max="9" width="10" hidden="0" customWidth="1"/>
    <x:col min="10" max="10" width="10" hidden="0" customWidth="1"/>
    <x:col min="11" max="11" width="11" hidden="0" customWidth="1"/>
    <x:col min="12" max="12" width="13" hidden="0" customWidth="1"/>
    <x:col min="13" max="13" width="14" hidden="0" customWidth="1"/>
    <x:col min="14" max="14" width="17" hidden="0" customWidth="1"/>
    <x:col min="15" max="15" width="18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6" hidden="0" customWidth="1"/>
    <x:col min="22" max="22" width="12" hidden="0" customWidth="1"/>
    <x:col min="23" max="23" width="11" hidden="0" customWidth="1"/>
  </x:cols>
  <x:sheetData>
    <x:row r="1" ht="26" customHeight="1">
      <x:c r="A1" s="18" t="str">
        <x:v>Order ID</x:v>
      </x:c>
      <x:c r="B1" s="18" t="str">
        <x:v>Order Date</x:v>
      </x:c>
      <x:c r="C1" s="18" t="str">
        <x:v>Customer ID</x:v>
      </x:c>
      <x:c r="D1" s="18" t="str">
        <x:v>SKU</x:v>
      </x:c>
      <x:c r="E1" s="18" t="str">
        <x:v>Qty</x:v>
      </x:c>
      <x:c r="F1" s="18" t="str">
        <x:v>Unit Price</x:v>
      </x:c>
      <x:c r="G1" s="18" t="str">
        <x:v>Gross Sales</x:v>
      </x:c>
      <x:c r="H1" s="18" t="str">
        <x:v>Discount</x:v>
      </x:c>
      <x:c r="I1" s="18" t="str">
        <x:v>Tax</x:v>
      </x:c>
      <x:c r="J1" s="18" t="str">
        <x:v>Shipping</x:v>
      </x:c>
      <x:c r="K1" s="18" t="str">
        <x:v>Refund</x:v>
      </x:c>
      <x:c r="L1" s="18" t="str">
        <x:v>Processor Fee</x:v>
      </x:c>
      <x:c r="M1" s="18" t="str">
        <x:v>Expected Net</x:v>
      </x:c>
      <x:c r="N1" s="18" t="str">
        <x:v>Recorded Settlement</x:v>
      </x:c>
      <x:c r="O1" s="18" t="str">
        <x:v>Payment Status</x:v>
      </x:c>
      <x:c r="P1" s="18" t="str">
        <x:v>Fulfillment</x:v>
      </x:c>
      <x:c r="Q1" s="18" t="str">
        <x:v>Duplicate</x:v>
      </x:c>
      <x:c r="R1" s="18" t="str">
        <x:v>Missing Field</x:v>
      </x:c>
      <x:c r="S1" s="18" t="str">
        <x:v>SKU Check</x:v>
      </x:c>
      <x:c r="T1" s="18" t="str">
        <x:v>Calc Variance</x:v>
      </x:c>
      <x:c r="U1" s="18" t="str">
        <x:v>Refund Check</x:v>
      </x:c>
      <x:c r="V1" s="18" t="str">
        <x:v>Exception Count</x:v>
      </x:c>
      <x:c r="W1" s="18" t="str">
        <x:v>QA Status</x:v>
      </x:c>
    </x:row>
    <x:row r="2">
      <x:c r="A2" t="str">
        <x:v>ORD-5001</x:v>
      </x:c>
      <x:c r="B2" s="26" t="n">
        <x:v>46113</x:v>
      </x:c>
      <x:c r="C2" t="str">
        <x:v>C-1000</x:v>
      </x:c>
      <x:c r="D2" t="str">
        <x:v>SKU-101</x:v>
      </x:c>
      <x:c r="E2" t="n">
        <x:v>1</x:v>
      </x:c>
      <x:c r="F2" s="24" t="n">
        <x:v>24</x:v>
      </x:c>
      <x:c r="G2" s="24" t="n">
        <x:v>24</x:v>
      </x:c>
      <x:c r="H2" s="24" t="n">
        <x:v>2.4</x:v>
      </x:c>
      <x:c r="I2" s="24" t="n">
        <x:v>1.3</x:v>
      </x:c>
      <x:c r="J2" s="24" t="n">
        <x:v>6.95</x:v>
      </x:c>
      <x:c r="K2" s="24" t="n">
        <x:v>0</x:v>
      </x:c>
      <x:c r="L2" s="24" t="n">
        <x:v>1.17</x:v>
      </x:c>
      <x:c r="M2" s="24" t="n">
        <x:v>28.68</x:v>
      </x:c>
      <x:c r="N2" s="24" t="n">
        <x:v>28.68</x:v>
      </x:c>
      <x:c r="O2" t="str">
        <x:v>Paid</x:v>
      </x:c>
      <x:c r="P2" t="str">
        <x:v>Delivered</x:v>
      </x:c>
      <x:c r="Q2" t="str">
        <x:f>IF(COUNTIF($A$2:$A$241,A2)&gt;1,"DUPLICATE","")</x:f>
      </x:c>
      <x:c r="R2" t="str">
        <x:f>IF(OR(A2="",B2="",C2="",D2="",E2=""),"MISSING","")</x:f>
      </x:c>
      <x:c r="S2" t="str">
        <x:f>IF(COUNTIF('Product Master'!$A$2:$A$9,D2)=0,"INVALID SKU","")</x:f>
      </x:c>
      <x:c r="T2" s="24" t="n">
        <x:f>N2-M2</x:f>
        <x:v>0</x:v>
      </x:c>
      <x:c r="U2" t="str">
        <x:f>IF(AND(K2&gt;0,O2="Paid"),"REFUND STATUS","")</x:f>
      </x:c>
      <x:c r="V2" t="n">
        <x:f>IF(Q2&lt;&gt;"",1,0)+IF(R2&lt;&gt;"",1,0)+IF(S2&lt;&gt;"",1,0)+IF(ABS(T2)&gt;0.01,1,0)+IF(U2&lt;&gt;"",1,0)</x:f>
        <x:v>0</x:v>
      </x:c>
      <x:c r="W2" t="str">
        <x:f>IF(V2=0,"PASS","REVIEW")</x:f>
        <x:v>PASS</x:v>
      </x:c>
    </x:row>
    <x:row r="3">
      <x:c r="A3" t="str">
        <x:v>ORD-5002</x:v>
      </x:c>
      <x:c r="B3" s="26" t="n">
        <x:v>46114</x:v>
      </x:c>
      <x:c r="C3" t="str">
        <x:v>C-1001</x:v>
      </x:c>
      <x:c r="D3" t="str">
        <x:v>SKU-102</x:v>
      </x:c>
      <x:c r="E3" t="n">
        <x:v>2</x:v>
      </x:c>
      <x:c r="F3" s="24" t="n">
        <x:v>28</x:v>
      </x:c>
      <x:c r="G3" s="24" t="n">
        <x:v>56</x:v>
      </x:c>
      <x:c r="H3" s="24" t="n">
        <x:v>0</x:v>
      </x:c>
      <x:c r="I3" s="24" t="n">
        <x:v>3.36</x:v>
      </x:c>
      <x:c r="J3" s="24" t="n">
        <x:v>6.95</x:v>
      </x:c>
      <x:c r="K3" s="24" t="n">
        <x:v>0</x:v>
      </x:c>
      <x:c r="L3" s="24" t="n">
        <x:v>2.22</x:v>
      </x:c>
      <x:c r="M3" s="24" t="n">
        <x:v>64.09</x:v>
      </x:c>
      <x:c r="N3" s="24" t="n">
        <x:v>64.09</x:v>
      </x:c>
      <x:c r="O3" t="str">
        <x:v>Paid</x:v>
      </x:c>
      <x:c r="P3" t="str">
        <x:v>Delivered</x:v>
      </x:c>
      <x:c r="Q3" t="str">
        <x:f>IF(COUNTIF($A$2:$A$241,A3)&gt;1,"DUPLICATE","")</x:f>
      </x:c>
      <x:c r="R3" t="str">
        <x:f>IF(OR(A3="",B3="",C3="",D3="",E3=""),"MISSING","")</x:f>
      </x:c>
      <x:c r="S3" t="str">
        <x:f>IF(COUNTIF('Product Master'!$A$2:$A$9,D3)=0,"INVALID SKU","")</x:f>
      </x:c>
      <x:c r="T3" s="24" t="n">
        <x:f>N3-M3</x:f>
        <x:v>0</x:v>
      </x:c>
      <x:c r="U3" t="str">
        <x:f>IF(AND(K3&gt;0,O3="Paid"),"REFUND STATUS","")</x:f>
      </x:c>
      <x:c r="V3" t="n">
        <x:f>IF(Q3&lt;&gt;"",1,0)+IF(R3&lt;&gt;"",1,0)+IF(S3&lt;&gt;"",1,0)+IF(ABS(T3)&gt;0.01,1,0)+IF(U3&lt;&gt;"",1,0)</x:f>
        <x:v>0</x:v>
      </x:c>
      <x:c r="W3" t="str">
        <x:f>IF(V3=0,"PASS","REVIEW")</x:f>
        <x:v>PASS</x:v>
      </x:c>
    </x:row>
    <x:row r="4">
      <x:c r="A4" t="str">
        <x:v>ORD-5003</x:v>
      </x:c>
      <x:c r="B4" s="26" t="n">
        <x:v>46115</x:v>
      </x:c>
      <x:c r="C4" t="str">
        <x:v>C-1002</x:v>
      </x:c>
      <x:c r="D4" t="str">
        <x:v>SKU-103</x:v>
      </x:c>
      <x:c r="E4" t="n">
        <x:v>3</x:v>
      </x:c>
      <x:c r="F4" s="24" t="n">
        <x:v>16</x:v>
      </x:c>
      <x:c r="G4" s="24" t="n">
        <x:v>48</x:v>
      </x:c>
      <x:c r="H4" s="24" t="n">
        <x:v>0</x:v>
      </x:c>
      <x:c r="I4" s="24" t="n">
        <x:v>2.88</x:v>
      </x:c>
      <x:c r="J4" s="24" t="n">
        <x:v>6.95</x:v>
      </x:c>
      <x:c r="K4" s="24" t="n">
        <x:v>0</x:v>
      </x:c>
      <x:c r="L4" s="24" t="n">
        <x:v>1.98</x:v>
      </x:c>
      <x:c r="M4" s="24" t="n">
        <x:v>55.85</x:v>
      </x:c>
      <x:c r="N4" s="24" t="n">
        <x:v>55.85</x:v>
      </x:c>
      <x:c r="O4" t="str">
        <x:v>Paid</x:v>
      </x:c>
      <x:c r="P4" t="str">
        <x:v>Delivered</x:v>
      </x:c>
      <x:c r="Q4" t="str">
        <x:f>IF(COUNTIF($A$2:$A$241,A4)&gt;1,"DUPLICATE","")</x:f>
      </x:c>
      <x:c r="R4" t="str">
        <x:f>IF(OR(A4="",B4="",C4="",D4="",E4=""),"MISSING","")</x:f>
      </x:c>
      <x:c r="S4" t="str">
        <x:f>IF(COUNTIF('Product Master'!$A$2:$A$9,D4)=0,"INVALID SKU","")</x:f>
      </x:c>
      <x:c r="T4" s="24" t="n">
        <x:f>N4-M4</x:f>
        <x:v>0</x:v>
      </x:c>
      <x:c r="U4" t="str">
        <x:f>IF(AND(K4&gt;0,O4="Paid"),"REFUND STATUS","")</x:f>
      </x:c>
      <x:c r="V4" t="n">
        <x:f>IF(Q4&lt;&gt;"",1,0)+IF(R4&lt;&gt;"",1,0)+IF(S4&lt;&gt;"",1,0)+IF(ABS(T4)&gt;0.01,1,0)+IF(U4&lt;&gt;"",1,0)</x:f>
        <x:v>0</x:v>
      </x:c>
      <x:c r="W4" t="str">
        <x:f>IF(V4=0,"PASS","REVIEW")</x:f>
        <x:v>PASS</x:v>
      </x:c>
    </x:row>
    <x:row r="5">
      <x:c r="A5" t="str">
        <x:v>ORD-5004</x:v>
      </x:c>
      <x:c r="B5" s="26" t="n">
        <x:v>46116</x:v>
      </x:c>
      <x:c r="C5" t="str">
        <x:v>C-1003</x:v>
      </x:c>
      <x:c r="D5" t="str">
        <x:v>SKU-104</x:v>
      </x:c>
      <x:c r="E5" t="n">
        <x:v>1</x:v>
      </x:c>
      <x:c r="F5" s="24" t="n">
        <x:v>58</x:v>
      </x:c>
      <x:c r="G5" s="24" t="n">
        <x:v>58</x:v>
      </x:c>
      <x:c r="H5" s="24" t="n">
        <x:v>0</x:v>
      </x:c>
      <x:c r="I5" s="24" t="n">
        <x:v>3.48</x:v>
      </x:c>
      <x:c r="J5" s="24" t="n">
        <x:v>6.95</x:v>
      </x:c>
      <x:c r="K5" s="24" t="n">
        <x:v>0</x:v>
      </x:c>
      <x:c r="L5" s="24" t="n">
        <x:v>2.28</x:v>
      </x:c>
      <x:c r="M5" s="24" t="n">
        <x:v>66.15</x:v>
      </x:c>
      <x:c r="N5" s="24" t="n">
        <x:v>66.15</x:v>
      </x:c>
      <x:c r="O5" t="str">
        <x:v>Paid</x:v>
      </x:c>
      <x:c r="P5" t="str">
        <x:v>Delivered</x:v>
      </x:c>
      <x:c r="Q5" t="str">
        <x:f>IF(COUNTIF($A$2:$A$241,A5)&gt;1,"DUPLICATE","")</x:f>
      </x:c>
      <x:c r="R5" t="str">
        <x:f>IF(OR(A5="",B5="",C5="",D5="",E5=""),"MISSING","")</x:f>
      </x:c>
      <x:c r="S5" t="str">
        <x:f>IF(COUNTIF('Product Master'!$A$2:$A$9,D5)=0,"INVALID SKU","")</x:f>
      </x:c>
      <x:c r="T5" s="24" t="n">
        <x:f>N5-M5</x:f>
        <x:v>0</x:v>
      </x:c>
      <x:c r="U5" t="str">
        <x:f>IF(AND(K5&gt;0,O5="Paid"),"REFUND STATUS","")</x:f>
      </x:c>
      <x:c r="V5" t="n">
        <x:f>IF(Q5&lt;&gt;"",1,0)+IF(R5&lt;&gt;"",1,0)+IF(S5&lt;&gt;"",1,0)+IF(ABS(T5)&gt;0.01,1,0)+IF(U5&lt;&gt;"",1,0)</x:f>
        <x:v>0</x:v>
      </x:c>
      <x:c r="W5" t="str">
        <x:f>IF(V5=0,"PASS","REVIEW")</x:f>
        <x:v>PASS</x:v>
      </x:c>
    </x:row>
    <x:row r="6">
      <x:c r="A6" t="str">
        <x:v>ORD-5005</x:v>
      </x:c>
      <x:c r="B6" s="26" t="n">
        <x:v>46117</x:v>
      </x:c>
      <x:c r="C6" t="str">
        <x:v>C-1004</x:v>
      </x:c>
      <x:c r="D6" t="str">
        <x:v>SKU-105</x:v>
      </x:c>
      <x:c r="E6" t="n">
        <x:v>2</x:v>
      </x:c>
      <x:c r="F6" s="24" t="n">
        <x:v>32</x:v>
      </x:c>
      <x:c r="G6" s="24" t="n">
        <x:v>64</x:v>
      </x:c>
      <x:c r="H6" s="24" t="n">
        <x:v>0</x:v>
      </x:c>
      <x:c r="I6" s="24" t="n">
        <x:v>3.84</x:v>
      </x:c>
      <x:c r="J6" s="24" t="n">
        <x:v>0</x:v>
      </x:c>
      <x:c r="K6" s="24" t="n">
        <x:v>0</x:v>
      </x:c>
      <x:c r="L6" s="24" t="n">
        <x:v>2.27</x:v>
      </x:c>
      <x:c r="M6" s="24" t="n">
        <x:v>65.57</x:v>
      </x:c>
      <x:c r="N6" s="24" t="n">
        <x:v>65.57</x:v>
      </x:c>
      <x:c r="O6" t="str">
        <x:v>Paid</x:v>
      </x:c>
      <x:c r="P6" t="str">
        <x:v>Delivered</x:v>
      </x:c>
      <x:c r="Q6" t="str">
        <x:f>IF(COUNTIF($A$2:$A$241,A6)&gt;1,"DUPLICATE","")</x:f>
      </x:c>
      <x:c r="R6" t="str">
        <x:f>IF(OR(A6="",B6="",C6="",D6="",E6=""),"MISSING","")</x:f>
      </x:c>
      <x:c r="S6" t="str">
        <x:f>IF(COUNTIF('Product Master'!$A$2:$A$9,D6)=0,"INVALID SKU","")</x:f>
      </x:c>
      <x:c r="T6" s="24" t="n">
        <x:f>N6-M6</x:f>
        <x:v>0</x:v>
      </x:c>
      <x:c r="U6" t="str">
        <x:f>IF(AND(K6&gt;0,O6="Paid"),"REFUND STATUS","")</x:f>
      </x:c>
      <x:c r="V6" t="n">
        <x:f>IF(Q6&lt;&gt;"",1,0)+IF(R6&lt;&gt;"",1,0)+IF(S6&lt;&gt;"",1,0)+IF(ABS(T6)&gt;0.01,1,0)+IF(U6&lt;&gt;"",1,0)</x:f>
        <x:v>0</x:v>
      </x:c>
      <x:c r="W6" t="str">
        <x:f>IF(V6=0,"PASS","REVIEW")</x:f>
        <x:v>PASS</x:v>
      </x:c>
    </x:row>
    <x:row r="7">
      <x:c r="A7" t="str">
        <x:v>ORD-5006</x:v>
      </x:c>
      <x:c r="B7" s="26" t="n">
        <x:v>46118</x:v>
      </x:c>
      <x:c r="C7" t="str">
        <x:v>C-1005</x:v>
      </x:c>
      <x:c r="D7" t="str">
        <x:v>SKU-106</x:v>
      </x:c>
      <x:c r="E7" t="n">
        <x:v>3</x:v>
      </x:c>
      <x:c r="F7" s="24" t="n">
        <x:v>36</x:v>
      </x:c>
      <x:c r="G7" s="24" t="n">
        <x:v>108</x:v>
      </x:c>
      <x:c r="H7" s="24" t="n">
        <x:v>0</x:v>
      </x:c>
      <x:c r="I7" s="24" t="n">
        <x:v>6.48</x:v>
      </x:c>
      <x:c r="J7" s="24" t="n">
        <x:v>0</x:v>
      </x:c>
      <x:c r="K7" s="24" t="n">
        <x:v>0</x:v>
      </x:c>
      <x:c r="L7" s="24" t="n">
        <x:v>3.62</x:v>
      </x:c>
      <x:c r="M7" s="24" t="n">
        <x:v>110.86</x:v>
      </x:c>
      <x:c r="N7" s="24" t="n">
        <x:v>110.86</x:v>
      </x:c>
      <x:c r="O7" t="str">
        <x:v>Paid</x:v>
      </x:c>
      <x:c r="P7" t="str">
        <x:v>Delivered</x:v>
      </x:c>
      <x:c r="Q7" t="str">
        <x:f>IF(COUNTIF($A$2:$A$241,A7)&gt;1,"DUPLICATE","")</x:f>
      </x:c>
      <x:c r="R7" t="str">
        <x:f>IF(OR(A7="",B7="",C7="",D7="",E7=""),"MISSING","")</x:f>
      </x:c>
      <x:c r="S7" t="str">
        <x:f>IF(COUNTIF('Product Master'!$A$2:$A$9,D7)=0,"INVALID SKU","")</x:f>
      </x:c>
      <x:c r="T7" s="24" t="n">
        <x:f>N7-M7</x:f>
        <x:v>0</x:v>
      </x:c>
      <x:c r="U7" t="str">
        <x:f>IF(AND(K7&gt;0,O7="Paid"),"REFUND STATUS","")</x:f>
      </x:c>
      <x:c r="V7" t="n">
        <x:f>IF(Q7&lt;&gt;"",1,0)+IF(R7&lt;&gt;"",1,0)+IF(S7&lt;&gt;"",1,0)+IF(ABS(T7)&gt;0.01,1,0)+IF(U7&lt;&gt;"",1,0)</x:f>
        <x:v>0</x:v>
      </x:c>
      <x:c r="W7" t="str">
        <x:f>IF(V7=0,"PASS","REVIEW")</x:f>
        <x:v>PASS</x:v>
      </x:c>
    </x:row>
    <x:row r="8">
      <x:c r="A8" t="str">
        <x:v>ORD-5007</x:v>
      </x:c>
      <x:c r="B8" s="26" t="n">
        <x:v>46119</x:v>
      </x:c>
      <x:c r="C8" t="str">
        <x:v>C-1006</x:v>
      </x:c>
      <x:c r="D8" t="str">
        <x:v>SKU-107</x:v>
      </x:c>
      <x:c r="E8" t="n">
        <x:v>1</x:v>
      </x:c>
      <x:c r="F8" s="24" t="n">
        <x:v>9</x:v>
      </x:c>
      <x:c r="G8" s="24" t="n">
        <x:v>9</x:v>
      </x:c>
      <x:c r="H8" s="24" t="n">
        <x:v>0</x:v>
      </x:c>
      <x:c r="I8" s="24" t="n">
        <x:v>0.54</x:v>
      </x:c>
      <x:c r="J8" s="24" t="n">
        <x:v>6.95</x:v>
      </x:c>
      <x:c r="K8" s="24" t="n">
        <x:v>0</x:v>
      </x:c>
      <x:c r="L8" s="24" t="n">
        <x:v>0.78</x:v>
      </x:c>
      <x:c r="M8" s="24" t="n">
        <x:v>15.71</x:v>
      </x:c>
      <x:c r="N8" s="24" t="n">
        <x:v>15.71</x:v>
      </x:c>
      <x:c r="O8" t="str">
        <x:v>Paid</x:v>
      </x:c>
      <x:c r="P8" t="str">
        <x:v>Delivered</x:v>
      </x:c>
      <x:c r="Q8" t="str">
        <x:f>IF(COUNTIF($A$2:$A$241,A8)&gt;1,"DUPLICATE","")</x:f>
      </x:c>
      <x:c r="R8" t="str">
        <x:f>IF(OR(A8="",B8="",C8="",D8="",E8=""),"MISSING","")</x:f>
      </x:c>
      <x:c r="S8" t="str">
        <x:f>IF(COUNTIF('Product Master'!$A$2:$A$9,D8)=0,"INVALID SKU","")</x:f>
      </x:c>
      <x:c r="T8" s="24" t="n">
        <x:f>N8-M8</x:f>
        <x:v>0</x:v>
      </x:c>
      <x:c r="U8" t="str">
        <x:f>IF(AND(K8&gt;0,O8="Paid"),"REFUND STATUS","")</x:f>
      </x:c>
      <x:c r="V8" t="n">
        <x:f>IF(Q8&lt;&gt;"",1,0)+IF(R8&lt;&gt;"",1,0)+IF(S8&lt;&gt;"",1,0)+IF(ABS(T8)&gt;0.01,1,0)+IF(U8&lt;&gt;"",1,0)</x:f>
        <x:v>0</x:v>
      </x:c>
      <x:c r="W8" t="str">
        <x:f>IF(V8=0,"PASS","REVIEW")</x:f>
        <x:v>PASS</x:v>
      </x:c>
    </x:row>
    <x:row r="9">
      <x:c r="A9" t="str">
        <x:v>ORD-5008</x:v>
      </x:c>
      <x:c r="B9" s="26" t="n">
        <x:v>46120</x:v>
      </x:c>
      <x:c r="C9" t="str">
        <x:v>C-1007</x:v>
      </x:c>
      <x:c r="D9" t="str">
        <x:v>SKU-108</x:v>
      </x:c>
      <x:c r="E9" t="n">
        <x:v>2</x:v>
      </x:c>
      <x:c r="F9" s="24" t="n">
        <x:v>42</x:v>
      </x:c>
      <x:c r="G9" s="24" t="n">
        <x:v>84</x:v>
      </x:c>
      <x:c r="H9" s="24" t="n">
        <x:v>0</x:v>
      </x:c>
      <x:c r="I9" s="24" t="n">
        <x:v>5.04</x:v>
      </x:c>
      <x:c r="J9" s="24" t="n">
        <x:v>0</x:v>
      </x:c>
      <x:c r="K9" s="24" t="n">
        <x:v>0</x:v>
      </x:c>
      <x:c r="L9" s="24" t="n">
        <x:v>2.88</x:v>
      </x:c>
      <x:c r="M9" s="24" t="n">
        <x:v>86.16</x:v>
      </x:c>
      <x:c r="N9" s="24" t="n">
        <x:v>86.16</x:v>
      </x:c>
      <x:c r="O9" t="str">
        <x:v>Paid</x:v>
      </x:c>
      <x:c r="P9" t="str">
        <x:v>Delivered</x:v>
      </x:c>
      <x:c r="Q9" t="str">
        <x:f>IF(COUNTIF($A$2:$A$241,A9)&gt;1,"DUPLICATE","")</x:f>
      </x:c>
      <x:c r="R9" t="str">
        <x:f>IF(OR(A9="",B9="",C9="",D9="",E9=""),"MISSING","")</x:f>
      </x:c>
      <x:c r="S9" t="str">
        <x:f>IF(COUNTIF('Product Master'!$A$2:$A$9,D9)=0,"INVALID SKU","")</x:f>
      </x:c>
      <x:c r="T9" s="24" t="n">
        <x:f>N9-M9</x:f>
        <x:v>0</x:v>
      </x:c>
      <x:c r="U9" t="str">
        <x:f>IF(AND(K9&gt;0,O9="Paid"),"REFUND STATUS","")</x:f>
      </x:c>
      <x:c r="V9" t="n">
        <x:f>IF(Q9&lt;&gt;"",1,0)+IF(R9&lt;&gt;"",1,0)+IF(S9&lt;&gt;"",1,0)+IF(ABS(T9)&gt;0.01,1,0)+IF(U9&lt;&gt;"",1,0)</x:f>
        <x:v>0</x:v>
      </x:c>
      <x:c r="W9" t="str">
        <x:f>IF(V9=0,"PASS","REVIEW")</x:f>
        <x:v>PASS</x:v>
      </x:c>
    </x:row>
    <x:row r="10">
      <x:c r="A10" t="str">
        <x:v>ORD-5009</x:v>
      </x:c>
      <x:c r="B10" s="26" t="n">
        <x:v>46121</x:v>
      </x:c>
      <x:c r="C10" t="str">
        <x:v>C-1008</x:v>
      </x:c>
      <x:c r="D10" t="str">
        <x:v>SKU-101</x:v>
      </x:c>
      <x:c r="E10" t="n">
        <x:v>3</x:v>
      </x:c>
      <x:c r="F10" s="24" t="n">
        <x:v>24</x:v>
      </x:c>
      <x:c r="G10" s="24" t="n">
        <x:v>72</x:v>
      </x:c>
      <x:c r="H10" s="24" t="n">
        <x:v>0</x:v>
      </x:c>
      <x:c r="I10" s="24" t="n">
        <x:v>4.32</x:v>
      </x:c>
      <x:c r="J10" s="24" t="n">
        <x:v>0</x:v>
      </x:c>
      <x:c r="K10" s="24" t="n">
        <x:v>0</x:v>
      </x:c>
      <x:c r="L10" s="24" t="n">
        <x:v>2.51</x:v>
      </x:c>
      <x:c r="M10" s="24" t="n">
        <x:v>73.81</x:v>
      </x:c>
      <x:c r="N10" s="24" t="n">
        <x:v>73.81</x:v>
      </x:c>
      <x:c r="O10" t="str">
        <x:v>Paid</x:v>
      </x:c>
      <x:c r="P10" t="str">
        <x:v>Delivered</x:v>
      </x:c>
      <x:c r="Q10" t="str">
        <x:f>IF(COUNTIF($A$2:$A$241,A10)&gt;1,"DUPLICATE","")</x:f>
      </x:c>
      <x:c r="R10" t="str">
        <x:f>IF(OR(A10="",B10="",C10="",D10="",E10=""),"MISSING","")</x:f>
      </x:c>
      <x:c r="S10" t="str">
        <x:f>IF(COUNTIF('Product Master'!$A$2:$A$9,D10)=0,"INVALID SKU","")</x:f>
      </x:c>
      <x:c r="T10" s="24" t="n">
        <x:f>N10-M10</x:f>
        <x:v>0</x:v>
      </x:c>
      <x:c r="U10" t="str">
        <x:f>IF(AND(K10&gt;0,O10="Paid"),"REFUND STATUS","")</x:f>
      </x:c>
      <x:c r="V10" t="n">
        <x:f>IF(Q10&lt;&gt;"",1,0)+IF(R10&lt;&gt;"",1,0)+IF(S10&lt;&gt;"",1,0)+IF(ABS(T10)&gt;0.01,1,0)+IF(U10&lt;&gt;"",1,0)</x:f>
        <x:v>0</x:v>
      </x:c>
      <x:c r="W10" t="str">
        <x:f>IF(V10=0,"PASS","REVIEW")</x:f>
        <x:v>PASS</x:v>
      </x:c>
    </x:row>
    <x:row r="11">
      <x:c r="A11" t="str">
        <x:v>ORD-5010</x:v>
      </x:c>
      <x:c r="B11" s="26" t="n">
        <x:v>46122</x:v>
      </x:c>
      <x:c r="C11" t="str">
        <x:v>C-1009</x:v>
      </x:c>
      <x:c r="D11" t="str">
        <x:v>SKU-102</x:v>
      </x:c>
      <x:c r="E11" t="n">
        <x:v>1</x:v>
      </x:c>
      <x:c r="F11" s="24" t="n">
        <x:v>28</x:v>
      </x:c>
      <x:c r="G11" s="24" t="n">
        <x:v>28</x:v>
      </x:c>
      <x:c r="H11" s="24" t="n">
        <x:v>2.8</x:v>
      </x:c>
      <x:c r="I11" s="24" t="n">
        <x:v>1.51</x:v>
      </x:c>
      <x:c r="J11" s="24" t="n">
        <x:v>6.95</x:v>
      </x:c>
      <x:c r="K11" s="24" t="n">
        <x:v>0</x:v>
      </x:c>
      <x:c r="L11" s="24" t="n">
        <x:v>1.28</x:v>
      </x:c>
      <x:c r="M11" s="24" t="n">
        <x:v>32.38</x:v>
      </x:c>
      <x:c r="N11" s="24" t="n">
        <x:v>32.38</x:v>
      </x:c>
      <x:c r="O11" t="str">
        <x:v>Paid</x:v>
      </x:c>
      <x:c r="P11" t="str">
        <x:v>Delivered</x:v>
      </x:c>
      <x:c r="Q11" t="str">
        <x:f>IF(COUNTIF($A$2:$A$241,A11)&gt;1,"DUPLICATE","")</x:f>
      </x:c>
      <x:c r="R11" t="str">
        <x:f>IF(OR(A11="",B11="",C11="",D11="",E11=""),"MISSING","")</x:f>
      </x:c>
      <x:c r="S11" t="str">
        <x:f>IF(COUNTIF('Product Master'!$A$2:$A$9,D11)=0,"INVALID SKU","")</x:f>
      </x:c>
      <x:c r="T11" s="24" t="n">
        <x:f>N11-M11</x:f>
        <x:v>0</x:v>
      </x:c>
      <x:c r="U11" t="str">
        <x:f>IF(AND(K11&gt;0,O11="Paid"),"REFUND STATUS","")</x:f>
      </x:c>
      <x:c r="V11" t="n">
        <x:f>IF(Q11&lt;&gt;"",1,0)+IF(R11&lt;&gt;"",1,0)+IF(S11&lt;&gt;"",1,0)+IF(ABS(T11)&gt;0.01,1,0)+IF(U11&lt;&gt;"",1,0)</x:f>
        <x:v>0</x:v>
      </x:c>
      <x:c r="W11" t="str">
        <x:f>IF(V11=0,"PASS","REVIEW")</x:f>
        <x:v>PASS</x:v>
      </x:c>
    </x:row>
    <x:row r="12">
      <x:c r="A12" t="str">
        <x:v>ORD-5011</x:v>
      </x:c>
      <x:c r="B12" s="26" t="n">
        <x:v>46123</x:v>
      </x:c>
      <x:c r="C12" t="str">
        <x:v>C-1010</x:v>
      </x:c>
      <x:c r="D12" t="str">
        <x:v>SKU-103</x:v>
      </x:c>
      <x:c r="E12" t="n">
        <x:v>2</x:v>
      </x:c>
      <x:c r="F12" s="24" t="n">
        <x:v>16</x:v>
      </x:c>
      <x:c r="G12" s="24" t="n">
        <x:v>32</x:v>
      </x:c>
      <x:c r="H12" s="24" t="n">
        <x:v>0</x:v>
      </x:c>
      <x:c r="I12" s="24" t="n">
        <x:v>1.92</x:v>
      </x:c>
      <x:c r="J12" s="24" t="n">
        <x:v>6.95</x:v>
      </x:c>
      <x:c r="K12" s="24" t="n">
        <x:v>0</x:v>
      </x:c>
      <x:c r="L12" s="24" t="n">
        <x:v>1.49</x:v>
      </x:c>
      <x:c r="M12" s="24" t="n">
        <x:v>39.38</x:v>
      </x:c>
      <x:c r="N12" s="24" t="n">
        <x:v>39.38</x:v>
      </x:c>
      <x:c r="O12" t="str">
        <x:v>Paid</x:v>
      </x:c>
      <x:c r="P12" t="str">
        <x:v>Delivered</x:v>
      </x:c>
      <x:c r="Q12" t="str">
        <x:f>IF(COUNTIF($A$2:$A$241,A12)&gt;1,"DUPLICATE","")</x:f>
      </x:c>
      <x:c r="R12" t="str">
        <x:f>IF(OR(A12="",B12="",C12="",D12="",E12=""),"MISSING","")</x:f>
      </x:c>
      <x:c r="S12" t="str">
        <x:f>IF(COUNTIF('Product Master'!$A$2:$A$9,D12)=0,"INVALID SKU","")</x:f>
      </x:c>
      <x:c r="T12" s="24" t="n">
        <x:f>N12-M12</x:f>
        <x:v>0</x:v>
      </x:c>
      <x:c r="U12" t="str">
        <x:f>IF(AND(K12&gt;0,O12="Paid"),"REFUND STATUS","")</x:f>
      </x:c>
      <x:c r="V12" t="n">
        <x:f>IF(Q12&lt;&gt;"",1,0)+IF(R12&lt;&gt;"",1,0)+IF(S12&lt;&gt;"",1,0)+IF(ABS(T12)&gt;0.01,1,0)+IF(U12&lt;&gt;"",1,0)</x:f>
        <x:v>0</x:v>
      </x:c>
      <x:c r="W12" t="str">
        <x:f>IF(V12=0,"PASS","REVIEW")</x:f>
        <x:v>PASS</x:v>
      </x:c>
    </x:row>
    <x:row r="13">
      <x:c r="A13" t="str">
        <x:v>ORD-5012</x:v>
      </x:c>
      <x:c r="B13" s="26" t="n">
        <x:v>46124</x:v>
      </x:c>
      <x:c r="C13" t="str">
        <x:v>C-1011</x:v>
      </x:c>
      <x:c r="D13" t="str">
        <x:v>SKU-104</x:v>
      </x:c>
      <x:c r="E13" t="n">
        <x:v>3</x:v>
      </x:c>
      <x:c r="F13" s="24" t="n">
        <x:v>58</x:v>
      </x:c>
      <x:c r="G13" s="24" t="n">
        <x:v>174</x:v>
      </x:c>
      <x:c r="H13" s="24" t="n">
        <x:v>0</x:v>
      </x:c>
      <x:c r="I13" s="24" t="n">
        <x:v>10.44</x:v>
      </x:c>
      <x:c r="J13" s="24" t="n">
        <x:v>0</x:v>
      </x:c>
      <x:c r="K13" s="24" t="n">
        <x:v>0</x:v>
      </x:c>
      <x:c r="L13" s="24" t="n">
        <x:v>5.65</x:v>
      </x:c>
      <x:c r="M13" s="24" t="n">
        <x:v>178.79</x:v>
      </x:c>
      <x:c r="N13" s="24" t="n">
        <x:v>178.79</x:v>
      </x:c>
      <x:c r="O13" t="str">
        <x:v>Paid</x:v>
      </x:c>
      <x:c r="P13" t="str">
        <x:v>Delivered</x:v>
      </x:c>
      <x:c r="Q13" t="str">
        <x:f>IF(COUNTIF($A$2:$A$241,A13)&gt;1,"DUPLICATE","")</x:f>
      </x:c>
      <x:c r="R13" t="str">
        <x:f>IF(OR(A13="",B13="",C13="",D13="",E13=""),"MISSING","")</x:f>
      </x:c>
      <x:c r="S13" t="str">
        <x:f>IF(COUNTIF('Product Master'!$A$2:$A$9,D13)=0,"INVALID SKU","")</x:f>
      </x:c>
      <x:c r="T13" s="24" t="n">
        <x:f>N13-M13</x:f>
        <x:v>0</x:v>
      </x:c>
      <x:c r="U13" t="str">
        <x:f>IF(AND(K13&gt;0,O13="Paid"),"REFUND STATUS","")</x:f>
      </x:c>
      <x:c r="V13" t="n">
        <x:f>IF(Q13&lt;&gt;"",1,0)+IF(R13&lt;&gt;"",1,0)+IF(S13&lt;&gt;"",1,0)+IF(ABS(T13)&gt;0.01,1,0)+IF(U13&lt;&gt;"",1,0)</x:f>
        <x:v>0</x:v>
      </x:c>
      <x:c r="W13" t="str">
        <x:f>IF(V13=0,"PASS","REVIEW")</x:f>
        <x:v>PASS</x:v>
      </x:c>
    </x:row>
    <x:row r="14">
      <x:c r="A14" t="str">
        <x:v>ORD-5013</x:v>
      </x:c>
      <x:c r="B14" s="26" t="n">
        <x:v>46125</x:v>
      </x:c>
      <x:c r="C14" t="str">
        <x:v>C-1012</x:v>
      </x:c>
      <x:c r="D14" t="str">
        <x:v>SKU-105</x:v>
      </x:c>
      <x:c r="E14" t="n">
        <x:v>1</x:v>
      </x:c>
      <x:c r="F14" s="24" t="n">
        <x:v>32</x:v>
      </x:c>
      <x:c r="G14" s="24" t="n">
        <x:v>32</x:v>
      </x:c>
      <x:c r="H14" s="24" t="n">
        <x:v>0</x:v>
      </x:c>
      <x:c r="I14" s="24" t="n">
        <x:v>1.92</x:v>
      </x:c>
      <x:c r="J14" s="24" t="n">
        <x:v>6.95</x:v>
      </x:c>
      <x:c r="K14" s="24" t="n">
        <x:v>0</x:v>
      </x:c>
      <x:c r="L14" s="24" t="n">
        <x:v>1.49</x:v>
      </x:c>
      <x:c r="M14" s="24" t="n">
        <x:v>39.38</x:v>
      </x:c>
      <x:c r="N14" s="24" t="n">
        <x:v>39.38</x:v>
      </x:c>
      <x:c r="O14" t="str">
        <x:v>Paid</x:v>
      </x:c>
      <x:c r="P14" t="str">
        <x:v>Delivered</x:v>
      </x:c>
      <x:c r="Q14" t="str">
        <x:f>IF(COUNTIF($A$2:$A$241,A14)&gt;1,"DUPLICATE","")</x:f>
      </x:c>
      <x:c r="R14" t="str">
        <x:f>IF(OR(A14="",B14="",C14="",D14="",E14=""),"MISSING","")</x:f>
      </x:c>
      <x:c r="S14" t="str">
        <x:f>IF(COUNTIF('Product Master'!$A$2:$A$9,D14)=0,"INVALID SKU","")</x:f>
      </x:c>
      <x:c r="T14" s="24" t="n">
        <x:f>N14-M14</x:f>
        <x:v>0</x:v>
      </x:c>
      <x:c r="U14" t="str">
        <x:f>IF(AND(K14&gt;0,O14="Paid"),"REFUND STATUS","")</x:f>
      </x:c>
      <x:c r="V14" t="n">
        <x:f>IF(Q14&lt;&gt;"",1,0)+IF(R14&lt;&gt;"",1,0)+IF(S14&lt;&gt;"",1,0)+IF(ABS(T14)&gt;0.01,1,0)+IF(U14&lt;&gt;"",1,0)</x:f>
        <x:v>0</x:v>
      </x:c>
      <x:c r="W14" t="str">
        <x:f>IF(V14=0,"PASS","REVIEW")</x:f>
        <x:v>PASS</x:v>
      </x:c>
    </x:row>
    <x:row r="15">
      <x:c r="A15" t="str">
        <x:v>ORD-5014</x:v>
      </x:c>
      <x:c r="B15" s="26" t="n">
        <x:v>46126</x:v>
      </x:c>
      <x:c r="C15" t="str">
        <x:v>C-1013</x:v>
      </x:c>
      <x:c r="D15" t="str">
        <x:v>SKU-106</x:v>
      </x:c>
      <x:c r="E15" t="n">
        <x:v>2</x:v>
      </x:c>
      <x:c r="F15" s="24" t="n">
        <x:v>36</x:v>
      </x:c>
      <x:c r="G15" s="24" t="n">
        <x:v>72</x:v>
      </x:c>
      <x:c r="H15" s="24" t="n">
        <x:v>0</x:v>
      </x:c>
      <x:c r="I15" s="24" t="n">
        <x:v>4.32</x:v>
      </x:c>
      <x:c r="J15" s="24" t="n">
        <x:v>0</x:v>
      </x:c>
      <x:c r="K15" s="24" t="n">
        <x:v>0</x:v>
      </x:c>
      <x:c r="L15" s="24" t="n">
        <x:v>2.51</x:v>
      </x:c>
      <x:c r="M15" s="24" t="n">
        <x:v>73.81</x:v>
      </x:c>
      <x:c r="N15" s="24" t="n">
        <x:v>73.81</x:v>
      </x:c>
      <x:c r="O15" t="str">
        <x:v>Paid</x:v>
      </x:c>
      <x:c r="P15" t="str">
        <x:v>Delivered</x:v>
      </x:c>
      <x:c r="Q15" t="str">
        <x:f>IF(COUNTIF($A$2:$A$241,A15)&gt;1,"DUPLICATE","")</x:f>
      </x:c>
      <x:c r="R15" t="str">
        <x:f>IF(OR(A15="",B15="",C15="",D15="",E15=""),"MISSING","")</x:f>
      </x:c>
      <x:c r="S15" t="str">
        <x:f>IF(COUNTIF('Product Master'!$A$2:$A$9,D15)=0,"INVALID SKU","")</x:f>
      </x:c>
      <x:c r="T15" s="24" t="n">
        <x:f>N15-M15</x:f>
        <x:v>0</x:v>
      </x:c>
      <x:c r="U15" t="str">
        <x:f>IF(AND(K15&gt;0,O15="Paid"),"REFUND STATUS","")</x:f>
      </x:c>
      <x:c r="V15" t="n">
        <x:f>IF(Q15&lt;&gt;"",1,0)+IF(R15&lt;&gt;"",1,0)+IF(S15&lt;&gt;"",1,0)+IF(ABS(T15)&gt;0.01,1,0)+IF(U15&lt;&gt;"",1,0)</x:f>
        <x:v>0</x:v>
      </x:c>
      <x:c r="W15" t="str">
        <x:f>IF(V15=0,"PASS","REVIEW")</x:f>
        <x:v>PASS</x:v>
      </x:c>
    </x:row>
    <x:row r="16">
      <x:c r="A16" t="str">
        <x:v>ORD-5015</x:v>
      </x:c>
      <x:c r="B16" s="26" t="n">
        <x:v>46127</x:v>
      </x:c>
      <x:c r="C16" t="str">
        <x:v>C-1014</x:v>
      </x:c>
      <x:c r="D16" t="str">
        <x:v>SKU-107</x:v>
      </x:c>
      <x:c r="E16" t="n">
        <x:v>3</x:v>
      </x:c>
      <x:c r="F16" s="24" t="n">
        <x:v>9</x:v>
      </x:c>
      <x:c r="G16" s="24" t="n">
        <x:v>27</x:v>
      </x:c>
      <x:c r="H16" s="24" t="n">
        <x:v>0</x:v>
      </x:c>
      <x:c r="I16" s="24" t="n">
        <x:v>1.62</x:v>
      </x:c>
      <x:c r="J16" s="24" t="n">
        <x:v>6.95</x:v>
      </x:c>
      <x:c r="K16" s="24" t="n">
        <x:v>0</x:v>
      </x:c>
      <x:c r="L16" s="24" t="n">
        <x:v>1.33</x:v>
      </x:c>
      <x:c r="M16" s="24" t="n">
        <x:v>34.24</x:v>
      </x:c>
      <x:c r="N16" s="24" t="n">
        <x:v>34.24</x:v>
      </x:c>
      <x:c r="O16" t="str">
        <x:v>Paid</x:v>
      </x:c>
      <x:c r="P16" t="str">
        <x:v>Delivered</x:v>
      </x:c>
      <x:c r="Q16" t="str">
        <x:f>IF(COUNTIF($A$2:$A$241,A16)&gt;1,"DUPLICATE","")</x:f>
      </x:c>
      <x:c r="R16" t="str">
        <x:f>IF(OR(A16="",B16="",C16="",D16="",E16=""),"MISSING","")</x:f>
      </x:c>
      <x:c r="S16" t="str">
        <x:f>IF(COUNTIF('Product Master'!$A$2:$A$9,D16)=0,"INVALID SKU","")</x:f>
      </x:c>
      <x:c r="T16" s="24" t="n">
        <x:f>N16-M16</x:f>
        <x:v>0</x:v>
      </x:c>
      <x:c r="U16" t="str">
        <x:f>IF(AND(K16&gt;0,O16="Paid"),"REFUND STATUS","")</x:f>
      </x:c>
      <x:c r="V16" t="n">
        <x:f>IF(Q16&lt;&gt;"",1,0)+IF(R16&lt;&gt;"",1,0)+IF(S16&lt;&gt;"",1,0)+IF(ABS(T16)&gt;0.01,1,0)+IF(U16&lt;&gt;"",1,0)</x:f>
        <x:v>0</x:v>
      </x:c>
      <x:c r="W16" t="str">
        <x:f>IF(V16=0,"PASS","REVIEW")</x:f>
        <x:v>PASS</x:v>
      </x:c>
    </x:row>
    <x:row r="17">
      <x:c r="A17" t="str">
        <x:v>ORD-5016</x:v>
      </x:c>
      <x:c r="B17" s="26" t="n">
        <x:v>46128</x:v>
      </x:c>
      <x:c r="C17" t="str">
        <x:v>C-1015</x:v>
      </x:c>
      <x:c r="D17" t="str">
        <x:v>SKU-108</x:v>
      </x:c>
      <x:c r="E17" t="n">
        <x:v>1</x:v>
      </x:c>
      <x:c r="F17" s="24" t="n">
        <x:v>42</x:v>
      </x:c>
      <x:c r="G17" s="24" t="n">
        <x:v>42</x:v>
      </x:c>
      <x:c r="H17" s="24" t="n">
        <x:v>0</x:v>
      </x:c>
      <x:c r="I17" s="24" t="n">
        <x:v>2.52</x:v>
      </x:c>
      <x:c r="J17" s="24" t="n">
        <x:v>6.95</x:v>
      </x:c>
      <x:c r="K17" s="24" t="n">
        <x:v>0</x:v>
      </x:c>
      <x:c r="L17" s="24" t="n">
        <x:v>1.79</x:v>
      </x:c>
      <x:c r="M17" s="24" t="n">
        <x:v>49.68</x:v>
      </x:c>
      <x:c r="N17" s="24" t="n">
        <x:v>49.68</x:v>
      </x:c>
      <x:c r="O17" t="str">
        <x:v>Paid</x:v>
      </x:c>
      <x:c r="P17" t="str">
        <x:v>Delivered</x:v>
      </x:c>
      <x:c r="Q17" t="str">
        <x:f>IF(COUNTIF($A$2:$A$241,A17)&gt;1,"DUPLICATE","")</x:f>
      </x:c>
      <x:c r="R17" t="str">
        <x:f>IF(OR(A17="",B17="",C17="",D17="",E17=""),"MISSING","")</x:f>
      </x:c>
      <x:c r="S17" t="str">
        <x:f>IF(COUNTIF('Product Master'!$A$2:$A$9,D17)=0,"INVALID SKU","")</x:f>
      </x:c>
      <x:c r="T17" s="24" t="n">
        <x:f>N17-M17</x:f>
        <x:v>0</x:v>
      </x:c>
      <x:c r="U17" t="str">
        <x:f>IF(AND(K17&gt;0,O17="Paid"),"REFUND STATUS","")</x:f>
      </x:c>
      <x:c r="V17" t="n">
        <x:f>IF(Q17&lt;&gt;"",1,0)+IF(R17&lt;&gt;"",1,0)+IF(S17&lt;&gt;"",1,0)+IF(ABS(T17)&gt;0.01,1,0)+IF(U17&lt;&gt;"",1,0)</x:f>
        <x:v>0</x:v>
      </x:c>
      <x:c r="W17" t="str">
        <x:f>IF(V17=0,"PASS","REVIEW")</x:f>
        <x:v>PASS</x:v>
      </x:c>
    </x:row>
    <x:row r="18">
      <x:c r="A18" t="str">
        <x:v>ORD-5017</x:v>
      </x:c>
      <x:c r="B18" s="26" t="n">
        <x:v>46129</x:v>
      </x:c>
      <x:c r="C18" t="str">
        <x:v>C-1016</x:v>
      </x:c>
      <x:c r="D18" t="str">
        <x:v>SKU-101</x:v>
      </x:c>
      <x:c r="E18" t="n">
        <x:v>2</x:v>
      </x:c>
      <x:c r="F18" s="24" t="n">
        <x:v>24</x:v>
      </x:c>
      <x:c r="G18" s="24" t="n">
        <x:v>48</x:v>
      </x:c>
      <x:c r="H18" s="24" t="n">
        <x:v>0</x:v>
      </x:c>
      <x:c r="I18" s="24" t="n">
        <x:v>2.88</x:v>
      </x:c>
      <x:c r="J18" s="24" t="n">
        <x:v>6.95</x:v>
      </x:c>
      <x:c r="K18" s="24" t="n">
        <x:v>0</x:v>
      </x:c>
      <x:c r="L18" s="24" t="n">
        <x:v>1.98</x:v>
      </x:c>
      <x:c r="M18" s="24" t="n">
        <x:v>55.85</x:v>
      </x:c>
      <x:c r="N18" s="24" t="n">
        <x:v>55.85</x:v>
      </x:c>
      <x:c r="O18" t="str">
        <x:v>Paid</x:v>
      </x:c>
      <x:c r="P18" t="str">
        <x:v>Delivered</x:v>
      </x:c>
      <x:c r="Q18" t="str">
        <x:f>IF(COUNTIF($A$2:$A$241,A18)&gt;1,"DUPLICATE","")</x:f>
      </x:c>
      <x:c r="R18" t="str">
        <x:f>IF(OR(A18="",B18="",C18="",D18="",E18=""),"MISSING","")</x:f>
      </x:c>
      <x:c r="S18" t="str">
        <x:f>IF(COUNTIF('Product Master'!$A$2:$A$9,D18)=0,"INVALID SKU","")</x:f>
      </x:c>
      <x:c r="T18" s="24" t="n">
        <x:f>N18-M18</x:f>
        <x:v>0</x:v>
      </x:c>
      <x:c r="U18" t="str">
        <x:f>IF(AND(K18&gt;0,O18="Paid"),"REFUND STATUS","")</x:f>
      </x:c>
      <x:c r="V18" t="n">
        <x:f>IF(Q18&lt;&gt;"",1,0)+IF(R18&lt;&gt;"",1,0)+IF(S18&lt;&gt;"",1,0)+IF(ABS(T18)&gt;0.01,1,0)+IF(U18&lt;&gt;"",1,0)</x:f>
        <x:v>0</x:v>
      </x:c>
      <x:c r="W18" t="str">
        <x:f>IF(V18=0,"PASS","REVIEW")</x:f>
        <x:v>PASS</x:v>
      </x:c>
    </x:row>
    <x:row r="19">
      <x:c r="A19" t="str">
        <x:v>ORD-5018</x:v>
      </x:c>
      <x:c r="B19" s="26" t="n">
        <x:v>46130</x:v>
      </x:c>
      <x:c r="C19" t="str">
        <x:v>C-1017</x:v>
      </x:c>
      <x:c r="D19" t="str">
        <x:v>SKU-102</x:v>
      </x:c>
      <x:c r="E19" t="n">
        <x:v>3</x:v>
      </x:c>
      <x:c r="F19" s="24" t="n">
        <x:v>28</x:v>
      </x:c>
      <x:c r="G19" s="24" t="n">
        <x:v>84</x:v>
      </x:c>
      <x:c r="H19" s="24" t="n">
        <x:v>0</x:v>
      </x:c>
      <x:c r="I19" s="24" t="n">
        <x:v>5.04</x:v>
      </x:c>
      <x:c r="J19" s="24" t="n">
        <x:v>0</x:v>
      </x:c>
      <x:c r="K19" s="24" t="n">
        <x:v>0</x:v>
      </x:c>
      <x:c r="L19" s="24" t="n">
        <x:v>2.88</x:v>
      </x:c>
      <x:c r="M19" s="24" t="n">
        <x:v>86.16</x:v>
      </x:c>
      <x:c r="N19" s="24" t="n">
        <x:v>86.16</x:v>
      </x:c>
      <x:c r="O19" t="str">
        <x:v>Paid</x:v>
      </x:c>
      <x:c r="P19" t="str">
        <x:v>Delivered</x:v>
      </x:c>
      <x:c r="Q19" t="str">
        <x:f>IF(COUNTIF($A$2:$A$241,A19)&gt;1,"DUPLICATE","")</x:f>
      </x:c>
      <x:c r="R19" t="str">
        <x:f>IF(OR(A19="",B19="",C19="",D19="",E19=""),"MISSING","")</x:f>
      </x:c>
      <x:c r="S19" t="str">
        <x:f>IF(COUNTIF('Product Master'!$A$2:$A$9,D19)=0,"INVALID SKU","")</x:f>
      </x:c>
      <x:c r="T19" s="24" t="n">
        <x:f>N19-M19</x:f>
        <x:v>0</x:v>
      </x:c>
      <x:c r="U19" t="str">
        <x:f>IF(AND(K19&gt;0,O19="Paid"),"REFUND STATUS","")</x:f>
      </x:c>
      <x:c r="V19" t="n">
        <x:f>IF(Q19&lt;&gt;"",1,0)+IF(R19&lt;&gt;"",1,0)+IF(S19&lt;&gt;"",1,0)+IF(ABS(T19)&gt;0.01,1,0)+IF(U19&lt;&gt;"",1,0)</x:f>
        <x:v>0</x:v>
      </x:c>
      <x:c r="W19" t="str">
        <x:f>IF(V19=0,"PASS","REVIEW")</x:f>
        <x:v>PASS</x:v>
      </x:c>
    </x:row>
    <x:row r="20">
      <x:c r="A20" t="str">
        <x:v>ORD-5019</x:v>
      </x:c>
      <x:c r="B20" s="26" t="n">
        <x:v>46131</x:v>
      </x:c>
      <x:c r="C20" t="str">
        <x:v>C-1018</x:v>
      </x:c>
      <x:c r="D20" t="str">
        <x:v>SKU-103</x:v>
      </x:c>
      <x:c r="E20" t="n">
        <x:v>1</x:v>
      </x:c>
      <x:c r="F20" s="24" t="n">
        <x:v>16</x:v>
      </x:c>
      <x:c r="G20" s="24" t="n">
        <x:v>16</x:v>
      </x:c>
      <x:c r="H20" s="24" t="n">
        <x:v>1.6</x:v>
      </x:c>
      <x:c r="I20" s="24" t="n">
        <x:v>0.86</x:v>
      </x:c>
      <x:c r="J20" s="24" t="n">
        <x:v>6.95</x:v>
      </x:c>
      <x:c r="K20" s="24" t="n">
        <x:v>0</x:v>
      </x:c>
      <x:c r="L20" s="24" t="n">
        <x:v>0.94</x:v>
      </x:c>
      <x:c r="M20" s="24" t="n">
        <x:v>21.27</x:v>
      </x:c>
      <x:c r="N20" s="24" t="n">
        <x:v>21.27</x:v>
      </x:c>
      <x:c r="O20" t="str">
        <x:v>Paid</x:v>
      </x:c>
      <x:c r="P20" t="str">
        <x:v>Delivered</x:v>
      </x:c>
      <x:c r="Q20" t="str">
        <x:f>IF(COUNTIF($A$2:$A$241,A20)&gt;1,"DUPLICATE","")</x:f>
      </x:c>
      <x:c r="R20" t="str">
        <x:f>IF(OR(A20="",B20="",C20="",D20="",E20=""),"MISSING","")</x:f>
      </x:c>
      <x:c r="S20" t="str">
        <x:f>IF(COUNTIF('Product Master'!$A$2:$A$9,D20)=0,"INVALID SKU","")</x:f>
      </x:c>
      <x:c r="T20" s="24" t="n">
        <x:f>N20-M20</x:f>
        <x:v>0</x:v>
      </x:c>
      <x:c r="U20" t="str">
        <x:f>IF(AND(K20&gt;0,O20="Paid"),"REFUND STATUS","")</x:f>
      </x:c>
      <x:c r="V20" t="n">
        <x:f>IF(Q20&lt;&gt;"",1,0)+IF(R20&lt;&gt;"",1,0)+IF(S20&lt;&gt;"",1,0)+IF(ABS(T20)&gt;0.01,1,0)+IF(U20&lt;&gt;"",1,0)</x:f>
        <x:v>0</x:v>
      </x:c>
      <x:c r="W20" t="str">
        <x:f>IF(V20=0,"PASS","REVIEW")</x:f>
        <x:v>PASS</x:v>
      </x:c>
    </x:row>
    <x:row r="21">
      <x:c r="A21" t="str">
        <x:v>ORD-5020</x:v>
      </x:c>
      <x:c r="B21" s="26" t="n">
        <x:v>46132</x:v>
      </x:c>
      <x:c r="C21" t="str">
        <x:v>C-1019</x:v>
      </x:c>
      <x:c r="D21" t="str">
        <x:v>SKU-104</x:v>
      </x:c>
      <x:c r="E21" t="n">
        <x:v>2</x:v>
      </x:c>
      <x:c r="F21" s="24" t="n">
        <x:v>58</x:v>
      </x:c>
      <x:c r="G21" s="24" t="n">
        <x:v>116</x:v>
      </x:c>
      <x:c r="H21" s="24" t="n">
        <x:v>0</x:v>
      </x:c>
      <x:c r="I21" s="24" t="n">
        <x:v>6.96</x:v>
      </x:c>
      <x:c r="J21" s="24" t="n">
        <x:v>0</x:v>
      </x:c>
      <x:c r="K21" s="24" t="n">
        <x:v>0</x:v>
      </x:c>
      <x:c r="L21" s="24" t="n">
        <x:v>3.87</x:v>
      </x:c>
      <x:c r="M21" s="24" t="n">
        <x:v>119.09</x:v>
      </x:c>
      <x:c r="N21" s="24" t="n">
        <x:v>119.09</x:v>
      </x:c>
      <x:c r="O21" t="str">
        <x:v>Paid</x:v>
      </x:c>
      <x:c r="P21" t="str">
        <x:v>Delivered</x:v>
      </x:c>
      <x:c r="Q21" t="str">
        <x:f>IF(COUNTIF($A$2:$A$241,A21)&gt;1,"DUPLICATE","")</x:f>
      </x:c>
      <x:c r="R21" t="str">
        <x:f>IF(OR(A21="",B21="",C21="",D21="",E21=""),"MISSING","")</x:f>
      </x:c>
      <x:c r="S21" t="str">
        <x:f>IF(COUNTIF('Product Master'!$A$2:$A$9,D21)=0,"INVALID SKU","")</x:f>
      </x:c>
      <x:c r="T21" s="24" t="n">
        <x:f>N21-M21</x:f>
        <x:v>0</x:v>
      </x:c>
      <x:c r="U21" t="str">
        <x:f>IF(AND(K21&gt;0,O21="Paid"),"REFUND STATUS","")</x:f>
      </x:c>
      <x:c r="V21" t="n">
        <x:f>IF(Q21&lt;&gt;"",1,0)+IF(R21&lt;&gt;"",1,0)+IF(S21&lt;&gt;"",1,0)+IF(ABS(T21)&gt;0.01,1,0)+IF(U21&lt;&gt;"",1,0)</x:f>
        <x:v>0</x:v>
      </x:c>
      <x:c r="W21" t="str">
        <x:f>IF(V21=0,"PASS","REVIEW")</x:f>
        <x:v>PASS</x:v>
      </x:c>
    </x:row>
    <x:row r="22">
      <x:c r="A22" t="str">
        <x:v>ORD-5021</x:v>
      </x:c>
      <x:c r="B22" s="26" t="n">
        <x:v>46133</x:v>
      </x:c>
      <x:c r="C22" t="str">
        <x:v>C-1020</x:v>
      </x:c>
      <x:c r="D22" t="str">
        <x:v>SKU-105</x:v>
      </x:c>
      <x:c r="E22" t="n">
        <x:v>3</x:v>
      </x:c>
      <x:c r="F22" s="24" t="n">
        <x:v>32</x:v>
      </x:c>
      <x:c r="G22" s="24" t="n">
        <x:v>96</x:v>
      </x:c>
      <x:c r="H22" s="24" t="n">
        <x:v>0</x:v>
      </x:c>
      <x:c r="I22" s="24" t="n">
        <x:v>5.76</x:v>
      </x:c>
      <x:c r="J22" s="24" t="n">
        <x:v>0</x:v>
      </x:c>
      <x:c r="K22" s="24" t="n">
        <x:v>0</x:v>
      </x:c>
      <x:c r="L22" s="24" t="n">
        <x:v>3.25</x:v>
      </x:c>
      <x:c r="M22" s="24" t="n">
        <x:v>98.51</x:v>
      </x:c>
      <x:c r="N22" s="24" t="n">
        <x:v>98.51</x:v>
      </x:c>
      <x:c r="O22" t="str">
        <x:v>Paid</x:v>
      </x:c>
      <x:c r="P22" t="str">
        <x:v>Delivered</x:v>
      </x:c>
      <x:c r="Q22" t="str">
        <x:f>IF(COUNTIF($A$2:$A$241,A22)&gt;1,"DUPLICATE","")</x:f>
      </x:c>
      <x:c r="R22" t="str">
        <x:f>IF(OR(A22="",B22="",C22="",D22="",E22=""),"MISSING","")</x:f>
      </x:c>
      <x:c r="S22" t="str">
        <x:f>IF(COUNTIF('Product Master'!$A$2:$A$9,D22)=0,"INVALID SKU","")</x:f>
      </x:c>
      <x:c r="T22" s="24" t="n">
        <x:f>N22-M22</x:f>
        <x:v>0</x:v>
      </x:c>
      <x:c r="U22" t="str">
        <x:f>IF(AND(K22&gt;0,O22="Paid"),"REFUND STATUS","")</x:f>
      </x:c>
      <x:c r="V22" t="n">
        <x:f>IF(Q22&lt;&gt;"",1,0)+IF(R22&lt;&gt;"",1,0)+IF(S22&lt;&gt;"",1,0)+IF(ABS(T22)&gt;0.01,1,0)+IF(U22&lt;&gt;"",1,0)</x:f>
        <x:v>0</x:v>
      </x:c>
      <x:c r="W22" t="str">
        <x:f>IF(V22=0,"PASS","REVIEW")</x:f>
        <x:v>PASS</x:v>
      </x:c>
    </x:row>
    <x:row r="23">
      <x:c r="A23" t="str">
        <x:v>ORD-5022</x:v>
      </x:c>
      <x:c r="B23" s="26" t="n">
        <x:v>46134</x:v>
      </x:c>
      <x:c r="C23" t="str">
        <x:v>C-1021</x:v>
      </x:c>
      <x:c r="D23" t="str">
        <x:v>SKU-106</x:v>
      </x:c>
      <x:c r="E23" t="n">
        <x:v>1</x:v>
      </x:c>
      <x:c r="F23" s="24" t="n">
        <x:v>36</x:v>
      </x:c>
      <x:c r="G23" s="24" t="n">
        <x:v>36</x:v>
      </x:c>
      <x:c r="H23" s="24" t="n">
        <x:v>0</x:v>
      </x:c>
      <x:c r="I23" s="24" t="n">
        <x:v>2.16</x:v>
      </x:c>
      <x:c r="J23" s="24" t="n">
        <x:v>6.95</x:v>
      </x:c>
      <x:c r="K23" s="24" t="n">
        <x:v>0</x:v>
      </x:c>
      <x:c r="L23" s="24" t="n">
        <x:v>1.61</x:v>
      </x:c>
      <x:c r="M23" s="24" t="n">
        <x:v>43.5</x:v>
      </x:c>
      <x:c r="N23" s="24" t="n">
        <x:v>43.5</x:v>
      </x:c>
      <x:c r="O23" t="str">
        <x:v>Paid</x:v>
      </x:c>
      <x:c r="P23" t="str">
        <x:v>Delivered</x:v>
      </x:c>
      <x:c r="Q23" t="str">
        <x:f>IF(COUNTIF($A$2:$A$241,A23)&gt;1,"DUPLICATE","")</x:f>
      </x:c>
      <x:c r="R23" t="str">
        <x:f>IF(OR(A23="",B23="",C23="",D23="",E23=""),"MISSING","")</x:f>
      </x:c>
      <x:c r="S23" t="str">
        <x:f>IF(COUNTIF('Product Master'!$A$2:$A$9,D23)=0,"INVALID SKU","")</x:f>
      </x:c>
      <x:c r="T23" s="24" t="n">
        <x:f>N23-M23</x:f>
        <x:v>0</x:v>
      </x:c>
      <x:c r="U23" t="str">
        <x:f>IF(AND(K23&gt;0,O23="Paid"),"REFUND STATUS","")</x:f>
      </x:c>
      <x:c r="V23" t="n">
        <x:f>IF(Q23&lt;&gt;"",1,0)+IF(R23&lt;&gt;"",1,0)+IF(S23&lt;&gt;"",1,0)+IF(ABS(T23)&gt;0.01,1,0)+IF(U23&lt;&gt;"",1,0)</x:f>
        <x:v>0</x:v>
      </x:c>
      <x:c r="W23" t="str">
        <x:f>IF(V23=0,"PASS","REVIEW")</x:f>
        <x:v>PASS</x:v>
      </x:c>
    </x:row>
    <x:row r="24">
      <x:c r="A24" t="str">
        <x:v>ORD-5023</x:v>
      </x:c>
      <x:c r="B24" s="26" t="n">
        <x:v>46135</x:v>
      </x:c>
      <x:c r="C24" t="str">
        <x:v>C-1022</x:v>
      </x:c>
      <x:c r="D24" t="str">
        <x:v>SKU-107</x:v>
      </x:c>
      <x:c r="E24" t="n">
        <x:v>2</x:v>
      </x:c>
      <x:c r="F24" s="24" t="n">
        <x:v>9</x:v>
      </x:c>
      <x:c r="G24" s="24" t="n">
        <x:v>18</x:v>
      </x:c>
      <x:c r="H24" s="24" t="n">
        <x:v>0</x:v>
      </x:c>
      <x:c r="I24" s="24" t="n">
        <x:v>1.08</x:v>
      </x:c>
      <x:c r="J24" s="24" t="n">
        <x:v>6.95</x:v>
      </x:c>
      <x:c r="K24" s="24" t="n">
        <x:v>0</x:v>
      </x:c>
      <x:c r="L24" s="24" t="n">
        <x:v>1.05</x:v>
      </x:c>
      <x:c r="M24" s="24" t="n">
        <x:v>24.98</x:v>
      </x:c>
      <x:c r="N24" s="24" t="n">
        <x:v>24.98</x:v>
      </x:c>
      <x:c r="O24" t="str">
        <x:v>Paid</x:v>
      </x:c>
      <x:c r="P24" t="str">
        <x:v>Delivered</x:v>
      </x:c>
      <x:c r="Q24" t="str">
        <x:f>IF(COUNTIF($A$2:$A$241,A24)&gt;1,"DUPLICATE","")</x:f>
      </x:c>
      <x:c r="R24" t="str">
        <x:f>IF(OR(A24="",B24="",C24="",D24="",E24=""),"MISSING","")</x:f>
      </x:c>
      <x:c r="S24" t="str">
        <x:f>IF(COUNTIF('Product Master'!$A$2:$A$9,D24)=0,"INVALID SKU","")</x:f>
      </x:c>
      <x:c r="T24" s="24" t="n">
        <x:f>N24-M24</x:f>
        <x:v>0</x:v>
      </x:c>
      <x:c r="U24" t="str">
        <x:f>IF(AND(K24&gt;0,O24="Paid"),"REFUND STATUS","")</x:f>
      </x:c>
      <x:c r="V24" t="n">
        <x:f>IF(Q24&lt;&gt;"",1,0)+IF(R24&lt;&gt;"",1,0)+IF(S24&lt;&gt;"",1,0)+IF(ABS(T24)&gt;0.01,1,0)+IF(U24&lt;&gt;"",1,0)</x:f>
        <x:v>0</x:v>
      </x:c>
      <x:c r="W24" t="str">
        <x:f>IF(V24=0,"PASS","REVIEW")</x:f>
        <x:v>PASS</x:v>
      </x:c>
    </x:row>
    <x:row r="25">
      <x:c r="A25" t="str">
        <x:v>ORD-5024</x:v>
      </x:c>
      <x:c r="B25" s="26" t="n">
        <x:v>46136</x:v>
      </x:c>
      <x:c r="C25" t="str">
        <x:v>C-1023</x:v>
      </x:c>
      <x:c r="D25" t="str">
        <x:v>SKU-108</x:v>
      </x:c>
      <x:c r="E25" t="n">
        <x:v>3</x:v>
      </x:c>
      <x:c r="F25" s="24" t="n">
        <x:v>42</x:v>
      </x:c>
      <x:c r="G25" s="24" t="n">
        <x:v>126</x:v>
      </x:c>
      <x:c r="H25" s="24" t="n">
        <x:v>0</x:v>
      </x:c>
      <x:c r="I25" s="24" t="n">
        <x:v>7.56</x:v>
      </x:c>
      <x:c r="J25" s="24" t="n">
        <x:v>0</x:v>
      </x:c>
      <x:c r="K25" s="24" t="n">
        <x:v>0</x:v>
      </x:c>
      <x:c r="L25" s="24" t="n">
        <x:v>4.17</x:v>
      </x:c>
      <x:c r="M25" s="24" t="n">
        <x:v>129.39</x:v>
      </x:c>
      <x:c r="N25" s="24" t="n">
        <x:v>129.39</x:v>
      </x:c>
      <x:c r="O25" t="str">
        <x:v>Paid</x:v>
      </x:c>
      <x:c r="P25" t="str">
        <x:v>Delivered</x:v>
      </x:c>
      <x:c r="Q25" t="str">
        <x:f>IF(COUNTIF($A$2:$A$241,A25)&gt;1,"DUPLICATE","")</x:f>
      </x:c>
      <x:c r="R25" t="str">
        <x:f>IF(OR(A25="",B25="",C25="",D25="",E25=""),"MISSING","")</x:f>
      </x:c>
      <x:c r="S25" t="str">
        <x:f>IF(COUNTIF('Product Master'!$A$2:$A$9,D25)=0,"INVALID SKU","")</x:f>
      </x:c>
      <x:c r="T25" s="24" t="n">
        <x:f>N25-M25</x:f>
        <x:v>0</x:v>
      </x:c>
      <x:c r="U25" t="str">
        <x:f>IF(AND(K25&gt;0,O25="Paid"),"REFUND STATUS","")</x:f>
      </x:c>
      <x:c r="V25" t="n">
        <x:f>IF(Q25&lt;&gt;"",1,0)+IF(R25&lt;&gt;"",1,0)+IF(S25&lt;&gt;"",1,0)+IF(ABS(T25)&gt;0.01,1,0)+IF(U25&lt;&gt;"",1,0)</x:f>
        <x:v>0</x:v>
      </x:c>
      <x:c r="W25" t="str">
        <x:f>IF(V25=0,"PASS","REVIEW")</x:f>
        <x:v>PASS</x:v>
      </x:c>
    </x:row>
    <x:row r="26">
      <x:c r="A26" t="str">
        <x:v>ORD-5025</x:v>
      </x:c>
      <x:c r="B26" s="26" t="n">
        <x:v>46137</x:v>
      </x:c>
      <x:c r="C26" t="str">
        <x:v>C-1024</x:v>
      </x:c>
      <x:c r="D26" t="str">
        <x:v>SKU-101</x:v>
      </x:c>
      <x:c r="E26" t="n">
        <x:v>1</x:v>
      </x:c>
      <x:c r="F26" s="24" t="n">
        <x:v>24</x:v>
      </x:c>
      <x:c r="G26" s="24" t="n">
        <x:v>24</x:v>
      </x:c>
      <x:c r="H26" s="24" t="n">
        <x:v>0</x:v>
      </x:c>
      <x:c r="I26" s="24" t="n">
        <x:v>1.44</x:v>
      </x:c>
      <x:c r="J26" s="24" t="n">
        <x:v>6.95</x:v>
      </x:c>
      <x:c r="K26" s="24" t="n">
        <x:v>0</x:v>
      </x:c>
      <x:c r="L26" s="24" t="n">
        <x:v>1.24</x:v>
      </x:c>
      <x:c r="M26" s="24" t="n">
        <x:v>31.15</x:v>
      </x:c>
      <x:c r="N26" s="24" t="n">
        <x:v>31.15</x:v>
      </x:c>
      <x:c r="O26" t="str">
        <x:v>Paid</x:v>
      </x:c>
      <x:c r="P26" t="str">
        <x:v>Delivered</x:v>
      </x:c>
      <x:c r="Q26" t="str">
        <x:f>IF(COUNTIF($A$2:$A$241,A26)&gt;1,"DUPLICATE","")</x:f>
      </x:c>
      <x:c r="R26" t="str">
        <x:f>IF(OR(A26="",B26="",C26="",D26="",E26=""),"MISSING","")</x:f>
      </x:c>
      <x:c r="S26" t="str">
        <x:f>IF(COUNTIF('Product Master'!$A$2:$A$9,D26)=0,"INVALID SKU","")</x:f>
      </x:c>
      <x:c r="T26" s="24" t="n">
        <x:f>N26-M26</x:f>
        <x:v>0</x:v>
      </x:c>
      <x:c r="U26" t="str">
        <x:f>IF(AND(K26&gt;0,O26="Paid"),"REFUND STATUS","")</x:f>
      </x:c>
      <x:c r="V26" t="n">
        <x:f>IF(Q26&lt;&gt;"",1,0)+IF(R26&lt;&gt;"",1,0)+IF(S26&lt;&gt;"",1,0)+IF(ABS(T26)&gt;0.01,1,0)+IF(U26&lt;&gt;"",1,0)</x:f>
        <x:v>0</x:v>
      </x:c>
      <x:c r="W26" t="str">
        <x:f>IF(V26=0,"PASS","REVIEW")</x:f>
        <x:v>PASS</x:v>
      </x:c>
    </x:row>
    <x:row r="27">
      <x:c r="A27" t="str">
        <x:v>ORD-5026</x:v>
      </x:c>
      <x:c r="B27" s="26" t="n">
        <x:v>46138</x:v>
      </x:c>
      <x:c r="C27" t="str">
        <x:v>C-1025</x:v>
      </x:c>
      <x:c r="D27" t="str">
        <x:v>SKU-102</x:v>
      </x:c>
      <x:c r="E27" t="n">
        <x:v>2</x:v>
      </x:c>
      <x:c r="F27" s="24" t="n">
        <x:v>28</x:v>
      </x:c>
      <x:c r="G27" s="24" t="n">
        <x:v>56</x:v>
      </x:c>
      <x:c r="H27" s="24" t="n">
        <x:v>0</x:v>
      </x:c>
      <x:c r="I27" s="24" t="n">
        <x:v>3.36</x:v>
      </x:c>
      <x:c r="J27" s="24" t="n">
        <x:v>6.95</x:v>
      </x:c>
      <x:c r="K27" s="24" t="n">
        <x:v>0</x:v>
      </x:c>
      <x:c r="L27" s="24" t="n">
        <x:v>2.22</x:v>
      </x:c>
      <x:c r="M27" s="24" t="n">
        <x:v>64.09</x:v>
      </x:c>
      <x:c r="N27" s="24" t="n">
        <x:v>64.09</x:v>
      </x:c>
      <x:c r="O27" t="str">
        <x:v>Paid</x:v>
      </x:c>
      <x:c r="P27" t="str">
        <x:v>Delivered</x:v>
      </x:c>
      <x:c r="Q27" t="str">
        <x:f>IF(COUNTIF($A$2:$A$241,A27)&gt;1,"DUPLICATE","")</x:f>
      </x:c>
      <x:c r="R27" t="str">
        <x:f>IF(OR(A27="",B27="",C27="",D27="",E27=""),"MISSING","")</x:f>
      </x:c>
      <x:c r="S27" t="str">
        <x:f>IF(COUNTIF('Product Master'!$A$2:$A$9,D27)=0,"INVALID SKU","")</x:f>
      </x:c>
      <x:c r="T27" s="24" t="n">
        <x:f>N27-M27</x:f>
        <x:v>0</x:v>
      </x:c>
      <x:c r="U27" t="str">
        <x:f>IF(AND(K27&gt;0,O27="Paid"),"REFUND STATUS","")</x:f>
      </x:c>
      <x:c r="V27" t="n">
        <x:f>IF(Q27&lt;&gt;"",1,0)+IF(R27&lt;&gt;"",1,0)+IF(S27&lt;&gt;"",1,0)+IF(ABS(T27)&gt;0.01,1,0)+IF(U27&lt;&gt;"",1,0)</x:f>
        <x:v>0</x:v>
      </x:c>
      <x:c r="W27" t="str">
        <x:f>IF(V27=0,"PASS","REVIEW")</x:f>
        <x:v>PASS</x:v>
      </x:c>
    </x:row>
    <x:row r="28">
      <x:c r="A28" t="str">
        <x:v>ORD-5027</x:v>
      </x:c>
      <x:c r="B28" s="26" t="n">
        <x:v>46139</x:v>
      </x:c>
      <x:c r="C28" t="str">
        <x:v>C-1026</x:v>
      </x:c>
      <x:c r="D28" t="str">
        <x:v>SKU-103</x:v>
      </x:c>
      <x:c r="E28" t="n">
        <x:v>3</x:v>
      </x:c>
      <x:c r="F28" s="24" t="n">
        <x:v>16</x:v>
      </x:c>
      <x:c r="G28" s="24" t="n">
        <x:v>48</x:v>
      </x:c>
      <x:c r="H28" s="24" t="n">
        <x:v>0</x:v>
      </x:c>
      <x:c r="I28" s="24" t="n">
        <x:v>2.88</x:v>
      </x:c>
      <x:c r="J28" s="24" t="n">
        <x:v>6.95</x:v>
      </x:c>
      <x:c r="K28" s="24" t="n">
        <x:v>0</x:v>
      </x:c>
      <x:c r="L28" s="24" t="n">
        <x:v>1.98</x:v>
      </x:c>
      <x:c r="M28" s="24" t="n">
        <x:v>55.85</x:v>
      </x:c>
      <x:c r="N28" s="24" t="n">
        <x:v>55.85</x:v>
      </x:c>
      <x:c r="O28" t="str">
        <x:v>Paid</x:v>
      </x:c>
      <x:c r="P28" t="str">
        <x:v>Delivered</x:v>
      </x:c>
      <x:c r="Q28" t="str">
        <x:f>IF(COUNTIF($A$2:$A$241,A28)&gt;1,"DUPLICATE","")</x:f>
      </x:c>
      <x:c r="R28" t="str">
        <x:f>IF(OR(A28="",B28="",C28="",D28="",E28=""),"MISSING","")</x:f>
      </x:c>
      <x:c r="S28" t="str">
        <x:f>IF(COUNTIF('Product Master'!$A$2:$A$9,D28)=0,"INVALID SKU","")</x:f>
      </x:c>
      <x:c r="T28" s="24" t="n">
        <x:f>N28-M28</x:f>
        <x:v>0</x:v>
      </x:c>
      <x:c r="U28" t="str">
        <x:f>IF(AND(K28&gt;0,O28="Paid"),"REFUND STATUS","")</x:f>
      </x:c>
      <x:c r="V28" t="n">
        <x:f>IF(Q28&lt;&gt;"",1,0)+IF(R28&lt;&gt;"",1,0)+IF(S28&lt;&gt;"",1,0)+IF(ABS(T28)&gt;0.01,1,0)+IF(U28&lt;&gt;"",1,0)</x:f>
        <x:v>0</x:v>
      </x:c>
      <x:c r="W28" t="str">
        <x:f>IF(V28=0,"PASS","REVIEW")</x:f>
        <x:v>PASS</x:v>
      </x:c>
    </x:row>
    <x:row r="29">
      <x:c r="A29" t="str">
        <x:v>ORD-5028</x:v>
      </x:c>
      <x:c r="B29" s="26" t="n">
        <x:v>46140</x:v>
      </x:c>
      <x:c r="C29" t="str">
        <x:v>C-1027</x:v>
      </x:c>
      <x:c r="D29" t="str">
        <x:v>SKU-104</x:v>
      </x:c>
      <x:c r="E29" t="n">
        <x:v>1</x:v>
      </x:c>
      <x:c r="F29" s="24" t="n">
        <x:v>58</x:v>
      </x:c>
      <x:c r="G29" s="24" t="n">
        <x:v>58</x:v>
      </x:c>
      <x:c r="H29" s="24" t="n">
        <x:v>5.8</x:v>
      </x:c>
      <x:c r="I29" s="24" t="n">
        <x:v>3.13</x:v>
      </x:c>
      <x:c r="J29" s="24" t="n">
        <x:v>6.95</x:v>
      </x:c>
      <x:c r="K29" s="24" t="n">
        <x:v>0</x:v>
      </x:c>
      <x:c r="L29" s="24" t="n">
        <x:v>2.11</x:v>
      </x:c>
      <x:c r="M29" s="24" t="n">
        <x:v>60.17</x:v>
      </x:c>
      <x:c r="N29" s="24" t="n">
        <x:v>60.17</x:v>
      </x:c>
      <x:c r="O29" t="str">
        <x:v>Paid</x:v>
      </x:c>
      <x:c r="P29" t="str">
        <x:v>Delivered</x:v>
      </x:c>
      <x:c r="Q29" t="str">
        <x:f>IF(COUNTIF($A$2:$A$241,A29)&gt;1,"DUPLICATE","")</x:f>
      </x:c>
      <x:c r="R29" t="str">
        <x:f>IF(OR(A29="",B29="",C29="",D29="",E29=""),"MISSING","")</x:f>
      </x:c>
      <x:c r="S29" t="str">
        <x:f>IF(COUNTIF('Product Master'!$A$2:$A$9,D29)=0,"INVALID SKU","")</x:f>
      </x:c>
      <x:c r="T29" s="24" t="n">
        <x:f>N29-M29</x:f>
        <x:v>0</x:v>
      </x:c>
      <x:c r="U29" t="str">
        <x:f>IF(AND(K29&gt;0,O29="Paid"),"REFUND STATUS","")</x:f>
      </x:c>
      <x:c r="V29" t="n">
        <x:f>IF(Q29&lt;&gt;"",1,0)+IF(R29&lt;&gt;"",1,0)+IF(S29&lt;&gt;"",1,0)+IF(ABS(T29)&gt;0.01,1,0)+IF(U29&lt;&gt;"",1,0)</x:f>
        <x:v>0</x:v>
      </x:c>
      <x:c r="W29" t="str">
        <x:f>IF(V29=0,"PASS","REVIEW")</x:f>
        <x:v>PASS</x:v>
      </x:c>
    </x:row>
    <x:row r="30">
      <x:c r="A30" t="str">
        <x:v>ORD-5029</x:v>
      </x:c>
      <x:c r="B30" s="26" t="n">
        <x:v>46141</x:v>
      </x:c>
      <x:c r="C30" t="str">
        <x:v>C-1028</x:v>
      </x:c>
      <x:c r="D30" t="str">
        <x:v>SKU-105</x:v>
      </x:c>
      <x:c r="E30" t="n">
        <x:v>2</x:v>
      </x:c>
      <x:c r="F30" s="24" t="n">
        <x:v>32</x:v>
      </x:c>
      <x:c r="G30" s="24" t="n">
        <x:v>64</x:v>
      </x:c>
      <x:c r="H30" s="24" t="n">
        <x:v>0</x:v>
      </x:c>
      <x:c r="I30" s="24" t="n">
        <x:v>3.84</x:v>
      </x:c>
      <x:c r="J30" s="24" t="n">
        <x:v>0</x:v>
      </x:c>
      <x:c r="K30" s="24" t="n">
        <x:v>0</x:v>
      </x:c>
      <x:c r="L30" s="24" t="n">
        <x:v>2.27</x:v>
      </x:c>
      <x:c r="M30" s="24" t="n">
        <x:v>65.57</x:v>
      </x:c>
      <x:c r="N30" s="24" t="n">
        <x:v>65.57</x:v>
      </x:c>
      <x:c r="O30" t="str">
        <x:v>Paid</x:v>
      </x:c>
      <x:c r="P30" t="str">
        <x:v>Delivered</x:v>
      </x:c>
      <x:c r="Q30" t="str">
        <x:f>IF(COUNTIF($A$2:$A$241,A30)&gt;1,"DUPLICATE","")</x:f>
      </x:c>
      <x:c r="R30" t="str">
        <x:f>IF(OR(A30="",B30="",C30="",D30="",E30=""),"MISSING","")</x:f>
      </x:c>
      <x:c r="S30" t="str">
        <x:f>IF(COUNTIF('Product Master'!$A$2:$A$9,D30)=0,"INVALID SKU","")</x:f>
      </x:c>
      <x:c r="T30" s="24" t="n">
        <x:f>N30-M30</x:f>
        <x:v>0</x:v>
      </x:c>
      <x:c r="U30" t="str">
        <x:f>IF(AND(K30&gt;0,O30="Paid"),"REFUND STATUS","")</x:f>
      </x:c>
      <x:c r="V30" t="n">
        <x:f>IF(Q30&lt;&gt;"",1,0)+IF(R30&lt;&gt;"",1,0)+IF(S30&lt;&gt;"",1,0)+IF(ABS(T30)&gt;0.01,1,0)+IF(U30&lt;&gt;"",1,0)</x:f>
        <x:v>0</x:v>
      </x:c>
      <x:c r="W30" t="str">
        <x:f>IF(V30=0,"PASS","REVIEW")</x:f>
        <x:v>PASS</x:v>
      </x:c>
    </x:row>
    <x:row r="31">
      <x:c r="A31" t="str">
        <x:v>ORD-5030</x:v>
      </x:c>
      <x:c r="B31" s="26" t="n">
        <x:v>46142</x:v>
      </x:c>
      <x:c r="C31" t="str">
        <x:v>C-1029</x:v>
      </x:c>
      <x:c r="D31" t="str">
        <x:v>SKU-106</x:v>
      </x:c>
      <x:c r="E31" t="n">
        <x:v>3</x:v>
      </x:c>
      <x:c r="F31" s="24" t="n">
        <x:v>36</x:v>
      </x:c>
      <x:c r="G31" s="24" t="n">
        <x:v>108</x:v>
      </x:c>
      <x:c r="H31" s="24" t="n">
        <x:v>0</x:v>
      </x:c>
      <x:c r="I31" s="24" t="n">
        <x:v>6.48</x:v>
      </x:c>
      <x:c r="J31" s="24" t="n">
        <x:v>0</x:v>
      </x:c>
      <x:c r="K31" s="24" t="n">
        <x:v>0</x:v>
      </x:c>
      <x:c r="L31" s="24" t="n">
        <x:v>3.62</x:v>
      </x:c>
      <x:c r="M31" s="24" t="n">
        <x:v>110.86</x:v>
      </x:c>
      <x:c r="N31" s="24" t="n">
        <x:v>110.86</x:v>
      </x:c>
      <x:c r="O31" t="str">
        <x:v>Paid</x:v>
      </x:c>
      <x:c r="P31" t="str">
        <x:v>Delivered</x:v>
      </x:c>
      <x:c r="Q31" t="str">
        <x:f>IF(COUNTIF($A$2:$A$241,A31)&gt;1,"DUPLICATE","")</x:f>
      </x:c>
      <x:c r="R31" t="str">
        <x:f>IF(OR(A31="",B31="",C31="",D31="",E31=""),"MISSING","")</x:f>
      </x:c>
      <x:c r="S31" t="str">
        <x:f>IF(COUNTIF('Product Master'!$A$2:$A$9,D31)=0,"INVALID SKU","")</x:f>
      </x:c>
      <x:c r="T31" s="24" t="n">
        <x:f>N31-M31</x:f>
        <x:v>0</x:v>
      </x:c>
      <x:c r="U31" t="str">
        <x:f>IF(AND(K31&gt;0,O31="Paid"),"REFUND STATUS","")</x:f>
      </x:c>
      <x:c r="V31" t="n">
        <x:f>IF(Q31&lt;&gt;"",1,0)+IF(R31&lt;&gt;"",1,0)+IF(S31&lt;&gt;"",1,0)+IF(ABS(T31)&gt;0.01,1,0)+IF(U31&lt;&gt;"",1,0)</x:f>
        <x:v>0</x:v>
      </x:c>
      <x:c r="W31" t="str">
        <x:f>IF(V31=0,"PASS","REVIEW")</x:f>
        <x:v>PASS</x:v>
      </x:c>
    </x:row>
    <x:row r="32">
      <x:c r="A32" t="str">
        <x:v>ORD-5031</x:v>
      </x:c>
      <x:c r="B32" s="26" t="n">
        <x:v>46143</x:v>
      </x:c>
      <x:c r="C32" t="str">
        <x:v>C-1030</x:v>
      </x:c>
      <x:c r="D32" t="str">
        <x:v>SKU-107</x:v>
      </x:c>
      <x:c r="E32" t="n">
        <x:v>1</x:v>
      </x:c>
      <x:c r="F32" s="24" t="n">
        <x:v>9</x:v>
      </x:c>
      <x:c r="G32" s="24" t="n">
        <x:v>9</x:v>
      </x:c>
      <x:c r="H32" s="24" t="n">
        <x:v>0</x:v>
      </x:c>
      <x:c r="I32" s="24" t="n">
        <x:v>0.54</x:v>
      </x:c>
      <x:c r="J32" s="24" t="n">
        <x:v>6.95</x:v>
      </x:c>
      <x:c r="K32" s="24" t="n">
        <x:v>0</x:v>
      </x:c>
      <x:c r="L32" s="24" t="n">
        <x:v>0.78</x:v>
      </x:c>
      <x:c r="M32" s="24" t="n">
        <x:v>15.71</x:v>
      </x:c>
      <x:c r="N32" s="24" t="n">
        <x:v>15.71</x:v>
      </x:c>
      <x:c r="O32" t="str">
        <x:v>Paid</x:v>
      </x:c>
      <x:c r="P32" t="str">
        <x:v>Delivered</x:v>
      </x:c>
      <x:c r="Q32" t="str">
        <x:f>IF(COUNTIF($A$2:$A$241,A32)&gt;1,"DUPLICATE","")</x:f>
      </x:c>
      <x:c r="R32" t="str">
        <x:f>IF(OR(A32="",B32="",C32="",D32="",E32=""),"MISSING","")</x:f>
      </x:c>
      <x:c r="S32" t="str">
        <x:f>IF(COUNTIF('Product Master'!$A$2:$A$9,D32)=0,"INVALID SKU","")</x:f>
      </x:c>
      <x:c r="T32" s="24" t="n">
        <x:f>N32-M32</x:f>
        <x:v>0</x:v>
      </x:c>
      <x:c r="U32" t="str">
        <x:f>IF(AND(K32&gt;0,O32="Paid"),"REFUND STATUS","")</x:f>
      </x:c>
      <x:c r="V32" t="n">
        <x:f>IF(Q32&lt;&gt;"",1,0)+IF(R32&lt;&gt;"",1,0)+IF(S32&lt;&gt;"",1,0)+IF(ABS(T32)&gt;0.01,1,0)+IF(U32&lt;&gt;"",1,0)</x:f>
        <x:v>0</x:v>
      </x:c>
      <x:c r="W32" t="str">
        <x:f>IF(V32=0,"PASS","REVIEW")</x:f>
        <x:v>PASS</x:v>
      </x:c>
    </x:row>
    <x:row r="33">
      <x:c r="A33" t="str">
        <x:v>ORD-5032</x:v>
      </x:c>
      <x:c r="B33" s="26" t="n">
        <x:v>46144</x:v>
      </x:c>
      <x:c r="C33" t="str">
        <x:v>C-1031</x:v>
      </x:c>
      <x:c r="D33" t="str">
        <x:v>SKU-108</x:v>
      </x:c>
      <x:c r="E33" t="n">
        <x:v>2</x:v>
      </x:c>
      <x:c r="F33" s="24" t="n">
        <x:v>42</x:v>
      </x:c>
      <x:c r="G33" s="24" t="n">
        <x:v>84</x:v>
      </x:c>
      <x:c r="H33" s="24" t="n">
        <x:v>0</x:v>
      </x:c>
      <x:c r="I33" s="24" t="n">
        <x:v>5.04</x:v>
      </x:c>
      <x:c r="J33" s="24" t="n">
        <x:v>0</x:v>
      </x:c>
      <x:c r="K33" s="24" t="n">
        <x:v>0</x:v>
      </x:c>
      <x:c r="L33" s="24" t="n">
        <x:v>2.88</x:v>
      </x:c>
      <x:c r="M33" s="24" t="n">
        <x:v>86.16</x:v>
      </x:c>
      <x:c r="N33" s="24" t="n">
        <x:v>86.16</x:v>
      </x:c>
      <x:c r="O33" t="str">
        <x:v>Paid</x:v>
      </x:c>
      <x:c r="P33" t="str">
        <x:v>Delivered</x:v>
      </x:c>
      <x:c r="Q33" t="str">
        <x:f>IF(COUNTIF($A$2:$A$241,A33)&gt;1,"DUPLICATE","")</x:f>
      </x:c>
      <x:c r="R33" t="str">
        <x:f>IF(OR(A33="",B33="",C33="",D33="",E33=""),"MISSING","")</x:f>
      </x:c>
      <x:c r="S33" t="str">
        <x:f>IF(COUNTIF('Product Master'!$A$2:$A$9,D33)=0,"INVALID SKU","")</x:f>
      </x:c>
      <x:c r="T33" s="24" t="n">
        <x:f>N33-M33</x:f>
        <x:v>0</x:v>
      </x:c>
      <x:c r="U33" t="str">
        <x:f>IF(AND(K33&gt;0,O33="Paid"),"REFUND STATUS","")</x:f>
      </x:c>
      <x:c r="V33" t="n">
        <x:f>IF(Q33&lt;&gt;"",1,0)+IF(R33&lt;&gt;"",1,0)+IF(S33&lt;&gt;"",1,0)+IF(ABS(T33)&gt;0.01,1,0)+IF(U33&lt;&gt;"",1,0)</x:f>
        <x:v>0</x:v>
      </x:c>
      <x:c r="W33" t="str">
        <x:f>IF(V33=0,"PASS","REVIEW")</x:f>
        <x:v>PASS</x:v>
      </x:c>
    </x:row>
    <x:row r="34">
      <x:c r="A34" t="str">
        <x:v>ORD-5033</x:v>
      </x:c>
      <x:c r="B34" s="26" t="n">
        <x:v>46145</x:v>
      </x:c>
      <x:c r="C34" t="str">
        <x:v>C-1032</x:v>
      </x:c>
      <x:c r="D34" t="str">
        <x:v>SKU-101</x:v>
      </x:c>
      <x:c r="E34" t="n">
        <x:v>3</x:v>
      </x:c>
      <x:c r="F34" s="24" t="n">
        <x:v>24</x:v>
      </x:c>
      <x:c r="G34" s="24" t="n">
        <x:v>72</x:v>
      </x:c>
      <x:c r="H34" s="24" t="n">
        <x:v>0</x:v>
      </x:c>
      <x:c r="I34" s="24" t="n">
        <x:v>4.32</x:v>
      </x:c>
      <x:c r="J34" s="24" t="n">
        <x:v>0</x:v>
      </x:c>
      <x:c r="K34" s="24" t="n">
        <x:v>0</x:v>
      </x:c>
      <x:c r="L34" s="24" t="n">
        <x:v>2.51</x:v>
      </x:c>
      <x:c r="M34" s="24" t="n">
        <x:v>73.81</x:v>
      </x:c>
      <x:c r="N34" s="24" t="n">
        <x:v>73.81</x:v>
      </x:c>
      <x:c r="O34" t="str">
        <x:v>Paid</x:v>
      </x:c>
      <x:c r="P34" t="str">
        <x:v>Delivered</x:v>
      </x:c>
      <x:c r="Q34" t="str">
        <x:f>IF(COUNTIF($A$2:$A$241,A34)&gt;1,"DUPLICATE","")</x:f>
      </x:c>
      <x:c r="R34" t="str">
        <x:f>IF(OR(A34="",B34="",C34="",D34="",E34=""),"MISSING","")</x:f>
      </x:c>
      <x:c r="S34" t="str">
        <x:f>IF(COUNTIF('Product Master'!$A$2:$A$9,D34)=0,"INVALID SKU","")</x:f>
      </x:c>
      <x:c r="T34" s="24" t="n">
        <x:f>N34-M34</x:f>
        <x:v>0</x:v>
      </x:c>
      <x:c r="U34" t="str">
        <x:f>IF(AND(K34&gt;0,O34="Paid"),"REFUND STATUS","")</x:f>
      </x:c>
      <x:c r="V34" t="n">
        <x:f>IF(Q34&lt;&gt;"",1,0)+IF(R34&lt;&gt;"",1,0)+IF(S34&lt;&gt;"",1,0)+IF(ABS(T34)&gt;0.01,1,0)+IF(U34&lt;&gt;"",1,0)</x:f>
        <x:v>0</x:v>
      </x:c>
      <x:c r="W34" t="str">
        <x:f>IF(V34=0,"PASS","REVIEW")</x:f>
        <x:v>PASS</x:v>
      </x:c>
    </x:row>
    <x:row r="35">
      <x:c r="A35" t="str">
        <x:v>ORD-5034</x:v>
      </x:c>
      <x:c r="B35" s="26" t="n">
        <x:v>46146</x:v>
      </x:c>
      <x:c r="C35" t="str">
        <x:v>C-1033</x:v>
      </x:c>
      <x:c r="D35" t="str">
        <x:v>SKU-102</x:v>
      </x:c>
      <x:c r="E35" t="n">
        <x:v>1</x:v>
      </x:c>
      <x:c r="F35" s="24" t="n">
        <x:v>28</x:v>
      </x:c>
      <x:c r="G35" s="24" t="n">
        <x:v>28</x:v>
      </x:c>
      <x:c r="H35" s="24" t="n">
        <x:v>0</x:v>
      </x:c>
      <x:c r="I35" s="24" t="n">
        <x:v>1.68</x:v>
      </x:c>
      <x:c r="J35" s="24" t="n">
        <x:v>6.95</x:v>
      </x:c>
      <x:c r="K35" s="24" t="n">
        <x:v>0</x:v>
      </x:c>
      <x:c r="L35" s="24" t="n">
        <x:v>1.36</x:v>
      </x:c>
      <x:c r="M35" s="24" t="n">
        <x:v>35.27</x:v>
      </x:c>
      <x:c r="N35" s="24" t="n">
        <x:v>35.27</x:v>
      </x:c>
      <x:c r="O35" t="str">
        <x:v>Paid</x:v>
      </x:c>
      <x:c r="P35" t="str">
        <x:v>Delivered</x:v>
      </x:c>
      <x:c r="Q35" t="str">
        <x:f>IF(COUNTIF($A$2:$A$241,A35)&gt;1,"DUPLICATE","")</x:f>
      </x:c>
      <x:c r="R35" t="str">
        <x:f>IF(OR(A35="",B35="",C35="",D35="",E35=""),"MISSING","")</x:f>
      </x:c>
      <x:c r="S35" t="str">
        <x:f>IF(COUNTIF('Product Master'!$A$2:$A$9,D35)=0,"INVALID SKU","")</x:f>
      </x:c>
      <x:c r="T35" s="24" t="n">
        <x:f>N35-M35</x:f>
        <x:v>0</x:v>
      </x:c>
      <x:c r="U35" t="str">
        <x:f>IF(AND(K35&gt;0,O35="Paid"),"REFUND STATUS","")</x:f>
      </x:c>
      <x:c r="V35" t="n">
        <x:f>IF(Q35&lt;&gt;"",1,0)+IF(R35&lt;&gt;"",1,0)+IF(S35&lt;&gt;"",1,0)+IF(ABS(T35)&gt;0.01,1,0)+IF(U35&lt;&gt;"",1,0)</x:f>
        <x:v>0</x:v>
      </x:c>
      <x:c r="W35" t="str">
        <x:f>IF(V35=0,"PASS","REVIEW")</x:f>
        <x:v>PASS</x:v>
      </x:c>
    </x:row>
    <x:row r="36">
      <x:c r="A36" t="str">
        <x:v>ORD-5035</x:v>
      </x:c>
      <x:c r="B36" s="26" t="n">
        <x:v>46147</x:v>
      </x:c>
      <x:c r="C36" t="str">
        <x:v>C-1034</x:v>
      </x:c>
      <x:c r="D36" t="str">
        <x:v>SKU-103</x:v>
      </x:c>
      <x:c r="E36" t="n">
        <x:v>2</x:v>
      </x:c>
      <x:c r="F36" s="24" t="n">
        <x:v>16</x:v>
      </x:c>
      <x:c r="G36" s="24" t="n">
        <x:v>32</x:v>
      </x:c>
      <x:c r="H36" s="24" t="n">
        <x:v>0</x:v>
      </x:c>
      <x:c r="I36" s="24" t="n">
        <x:v>1.92</x:v>
      </x:c>
      <x:c r="J36" s="24" t="n">
        <x:v>6.95</x:v>
      </x:c>
      <x:c r="K36" s="24" t="n">
        <x:v>0</x:v>
      </x:c>
      <x:c r="L36" s="24" t="n">
        <x:v>1.49</x:v>
      </x:c>
      <x:c r="M36" s="24" t="n">
        <x:v>39.38</x:v>
      </x:c>
      <x:c r="N36" s="24" t="n">
        <x:v>39.38</x:v>
      </x:c>
      <x:c r="O36" t="str">
        <x:v>Paid</x:v>
      </x:c>
      <x:c r="P36" t="str">
        <x:v>Delivered</x:v>
      </x:c>
      <x:c r="Q36" t="str">
        <x:f>IF(COUNTIF($A$2:$A$241,A36)&gt;1,"DUPLICATE","")</x:f>
      </x:c>
      <x:c r="R36" t="str">
        <x:f>IF(OR(A36="",B36="",C36="",D36="",E36=""),"MISSING","")</x:f>
      </x:c>
      <x:c r="S36" t="str">
        <x:f>IF(COUNTIF('Product Master'!$A$2:$A$9,D36)=0,"INVALID SKU","")</x:f>
      </x:c>
      <x:c r="T36" s="24" t="n">
        <x:f>N36-M36</x:f>
        <x:v>0</x:v>
      </x:c>
      <x:c r="U36" t="str">
        <x:f>IF(AND(K36&gt;0,O36="Paid"),"REFUND STATUS","")</x:f>
      </x:c>
      <x:c r="V36" t="n">
        <x:f>IF(Q36&lt;&gt;"",1,0)+IF(R36&lt;&gt;"",1,0)+IF(S36&lt;&gt;"",1,0)+IF(ABS(T36)&gt;0.01,1,0)+IF(U36&lt;&gt;"",1,0)</x:f>
        <x:v>0</x:v>
      </x:c>
      <x:c r="W36" t="str">
        <x:f>IF(V36=0,"PASS","REVIEW")</x:f>
        <x:v>PASS</x:v>
      </x:c>
    </x:row>
    <x:row r="37">
      <x:c r="A37" t="str">
        <x:v>ORD-5036</x:v>
      </x:c>
      <x:c r="B37" s="26" t="n">
        <x:v>46148</x:v>
      </x:c>
      <x:c r="C37" t="str">
        <x:v>C-1035</x:v>
      </x:c>
      <x:c r="D37" t="str">
        <x:v>SKU-104</x:v>
      </x:c>
      <x:c r="E37" t="n">
        <x:v>3</x:v>
      </x:c>
      <x:c r="F37" s="24" t="n">
        <x:v>58</x:v>
      </x:c>
      <x:c r="G37" s="24" t="n">
        <x:v>174</x:v>
      </x:c>
      <x:c r="H37" s="24" t="n">
        <x:v>0</x:v>
      </x:c>
      <x:c r="I37" s="24" t="n">
        <x:v>10.44</x:v>
      </x:c>
      <x:c r="J37" s="24" t="n">
        <x:v>0</x:v>
      </x:c>
      <x:c r="K37" s="24" t="n">
        <x:v>184.44</x:v>
      </x:c>
      <x:c r="L37" s="24" t="n">
        <x:v>0</x:v>
      </x:c>
      <x:c r="M37" s="24" t="n">
        <x:v>0</x:v>
      </x:c>
      <x:c r="N37" s="24" t="n">
        <x:v>0</x:v>
      </x:c>
      <x:c r="O37" t="str">
        <x:v>Refunded</x:v>
      </x:c>
      <x:c r="P37" t="str">
        <x:v>Delivered</x:v>
      </x:c>
      <x:c r="Q37" t="str">
        <x:f>IF(COUNTIF($A$2:$A$241,A37)&gt;1,"DUPLICATE","")</x:f>
      </x:c>
      <x:c r="R37" t="str">
        <x:f>IF(OR(A37="",B37="",C37="",D37="",E37=""),"MISSING","")</x:f>
      </x:c>
      <x:c r="S37" t="str">
        <x:f>IF(COUNTIF('Product Master'!$A$2:$A$9,D37)=0,"INVALID SKU","")</x:f>
      </x:c>
      <x:c r="T37" s="24" t="n">
        <x:f>N37-M37</x:f>
        <x:v>0</x:v>
      </x:c>
      <x:c r="U37" t="str">
        <x:f>IF(AND(K37&gt;0,O37="Paid"),"REFUND STATUS","")</x:f>
      </x:c>
      <x:c r="V37" t="n">
        <x:f>IF(Q37&lt;&gt;"",1,0)+IF(R37&lt;&gt;"",1,0)+IF(S37&lt;&gt;"",1,0)+IF(ABS(T37)&gt;0.01,1,0)+IF(U37&lt;&gt;"",1,0)</x:f>
        <x:v>0</x:v>
      </x:c>
      <x:c r="W37" t="str">
        <x:f>IF(V37=0,"PASS","REVIEW")</x:f>
        <x:v>PASS</x:v>
      </x:c>
    </x:row>
    <x:row r="38">
      <x:c r="A38" t="str">
        <x:v>ORD-5037</x:v>
      </x:c>
      <x:c r="B38" s="26" t="n">
        <x:v>46149</x:v>
      </x:c>
      <x:c r="C38" t="str">
        <x:v>C-1036</x:v>
      </x:c>
      <x:c r="D38" t="str">
        <x:v>SKU-105</x:v>
      </x:c>
      <x:c r="E38" t="n">
        <x:v>1</x:v>
      </x:c>
      <x:c r="F38" s="24" t="n">
        <x:v>32</x:v>
      </x:c>
      <x:c r="G38" s="24" t="n">
        <x:v>32</x:v>
      </x:c>
      <x:c r="H38" s="24" t="n">
        <x:v>3.2</x:v>
      </x:c>
      <x:c r="I38" s="24" t="n">
        <x:v>1.73</x:v>
      </x:c>
      <x:c r="J38" s="24" t="n">
        <x:v>6.95</x:v>
      </x:c>
      <x:c r="K38" s="24" t="n">
        <x:v>0</x:v>
      </x:c>
      <x:c r="L38" s="24" t="n">
        <x:v>1.39</x:v>
      </x:c>
      <x:c r="M38" s="24" t="n">
        <x:v>36.09</x:v>
      </x:c>
      <x:c r="N38" s="24" t="n">
        <x:v>36.09</x:v>
      </x:c>
      <x:c r="O38" t="str">
        <x:v>Paid</x:v>
      </x:c>
      <x:c r="P38" t="str">
        <x:v>Delivered</x:v>
      </x:c>
      <x:c r="Q38" t="str">
        <x:f>IF(COUNTIF($A$2:$A$241,A38)&gt;1,"DUPLICATE","")</x:f>
      </x:c>
      <x:c r="R38" t="str">
        <x:f>IF(OR(A38="",B38="",C38="",D38="",E38=""),"MISSING","")</x:f>
      </x:c>
      <x:c r="S38" t="str">
        <x:f>IF(COUNTIF('Product Master'!$A$2:$A$9,D38)=0,"INVALID SKU","")</x:f>
      </x:c>
      <x:c r="T38" s="24" t="n">
        <x:f>N38-M38</x:f>
        <x:v>0</x:v>
      </x:c>
      <x:c r="U38" t="str">
        <x:f>IF(AND(K38&gt;0,O38="Paid"),"REFUND STATUS","")</x:f>
      </x:c>
      <x:c r="V38" t="n">
        <x:f>IF(Q38&lt;&gt;"",1,0)+IF(R38&lt;&gt;"",1,0)+IF(S38&lt;&gt;"",1,0)+IF(ABS(T38)&gt;0.01,1,0)+IF(U38&lt;&gt;"",1,0)</x:f>
        <x:v>0</x:v>
      </x:c>
      <x:c r="W38" t="str">
        <x:f>IF(V38=0,"PASS","REVIEW")</x:f>
        <x:v>PASS</x:v>
      </x:c>
    </x:row>
    <x:row r="39">
      <x:c r="A39" t="str">
        <x:v>ORD-5038</x:v>
      </x:c>
      <x:c r="B39" s="26" t="n">
        <x:v>46150</x:v>
      </x:c>
      <x:c r="C39" t="str">
        <x:v>C-1037</x:v>
      </x:c>
      <x:c r="D39" t="str">
        <x:v>SKU-106</x:v>
      </x:c>
      <x:c r="E39" t="n">
        <x:v>2</x:v>
      </x:c>
      <x:c r="F39" s="24" t="n">
        <x:v>36</x:v>
      </x:c>
      <x:c r="G39" s="24" t="n">
        <x:v>72</x:v>
      </x:c>
      <x:c r="H39" s="24" t="n">
        <x:v>0</x:v>
      </x:c>
      <x:c r="I39" s="24" t="n">
        <x:v>4.32</x:v>
      </x:c>
      <x:c r="J39" s="24" t="n">
        <x:v>0</x:v>
      </x:c>
      <x:c r="K39" s="24" t="n">
        <x:v>0</x:v>
      </x:c>
      <x:c r="L39" s="24" t="n">
        <x:v>2.51</x:v>
      </x:c>
      <x:c r="M39" s="24" t="n">
        <x:v>73.81</x:v>
      </x:c>
      <x:c r="N39" s="24" t="n">
        <x:v>73.81</x:v>
      </x:c>
      <x:c r="O39" t="str">
        <x:v>Paid</x:v>
      </x:c>
      <x:c r="P39" t="str">
        <x:v>Delivered</x:v>
      </x:c>
      <x:c r="Q39" t="str">
        <x:f>IF(COUNTIF($A$2:$A$241,A39)&gt;1,"DUPLICATE","")</x:f>
      </x:c>
      <x:c r="R39" t="str">
        <x:f>IF(OR(A39="",B39="",C39="",D39="",E39=""),"MISSING","")</x:f>
      </x:c>
      <x:c r="S39" t="str">
        <x:f>IF(COUNTIF('Product Master'!$A$2:$A$9,D39)=0,"INVALID SKU","")</x:f>
      </x:c>
      <x:c r="T39" s="24" t="n">
        <x:f>N39-M39</x:f>
        <x:v>0</x:v>
      </x:c>
      <x:c r="U39" t="str">
        <x:f>IF(AND(K39&gt;0,O39="Paid"),"REFUND STATUS","")</x:f>
      </x:c>
      <x:c r="V39" t="n">
        <x:f>IF(Q39&lt;&gt;"",1,0)+IF(R39&lt;&gt;"",1,0)+IF(S39&lt;&gt;"",1,0)+IF(ABS(T39)&gt;0.01,1,0)+IF(U39&lt;&gt;"",1,0)</x:f>
        <x:v>0</x:v>
      </x:c>
      <x:c r="W39" t="str">
        <x:f>IF(V39=0,"PASS","REVIEW")</x:f>
        <x:v>PASS</x:v>
      </x:c>
    </x:row>
    <x:row r="40">
      <x:c r="A40" t="str">
        <x:v>ORD-5039</x:v>
      </x:c>
      <x:c r="B40" s="26" t="n">
        <x:v>46151</x:v>
      </x:c>
      <x:c r="C40" t="str">
        <x:v>C-1038</x:v>
      </x:c>
      <x:c r="D40" t="str">
        <x:v>SKU-107</x:v>
      </x:c>
      <x:c r="E40" t="n">
        <x:v>3</x:v>
      </x:c>
      <x:c r="F40" s="24" t="n">
        <x:v>9</x:v>
      </x:c>
      <x:c r="G40" s="24" t="n">
        <x:v>27</x:v>
      </x:c>
      <x:c r="H40" s="24" t="n">
        <x:v>0</x:v>
      </x:c>
      <x:c r="I40" s="24" t="n">
        <x:v>1.62</x:v>
      </x:c>
      <x:c r="J40" s="24" t="n">
        <x:v>6.95</x:v>
      </x:c>
      <x:c r="K40" s="24" t="n">
        <x:v>0</x:v>
      </x:c>
      <x:c r="L40" s="24" t="n">
        <x:v>1.33</x:v>
      </x:c>
      <x:c r="M40" s="24" t="n">
        <x:v>34.24</x:v>
      </x:c>
      <x:c r="N40" s="24" t="n">
        <x:v>34.24</x:v>
      </x:c>
      <x:c r="O40" t="str">
        <x:v>Paid</x:v>
      </x:c>
      <x:c r="P40" t="str">
        <x:v>Delivered</x:v>
      </x:c>
      <x:c r="Q40" t="str">
        <x:f>IF(COUNTIF($A$2:$A$241,A40)&gt;1,"DUPLICATE","")</x:f>
      </x:c>
      <x:c r="R40" t="str">
        <x:f>IF(OR(A40="",B40="",C40="",D40="",E40=""),"MISSING","")</x:f>
      </x:c>
      <x:c r="S40" t="str">
        <x:f>IF(COUNTIF('Product Master'!$A$2:$A$9,D40)=0,"INVALID SKU","")</x:f>
      </x:c>
      <x:c r="T40" s="24" t="n">
        <x:f>N40-M40</x:f>
        <x:v>0</x:v>
      </x:c>
      <x:c r="U40" t="str">
        <x:f>IF(AND(K40&gt;0,O40="Paid"),"REFUND STATUS","")</x:f>
      </x:c>
      <x:c r="V40" t="n">
        <x:f>IF(Q40&lt;&gt;"",1,0)+IF(R40&lt;&gt;"",1,0)+IF(S40&lt;&gt;"",1,0)+IF(ABS(T40)&gt;0.01,1,0)+IF(U40&lt;&gt;"",1,0)</x:f>
        <x:v>0</x:v>
      </x:c>
      <x:c r="W40" t="str">
        <x:f>IF(V40=0,"PASS","REVIEW")</x:f>
        <x:v>PASS</x:v>
      </x:c>
    </x:row>
    <x:row r="41">
      <x:c r="A41" t="str">
        <x:v>ORD-5040</x:v>
      </x:c>
      <x:c r="B41" s="26" t="n">
        <x:v>46152</x:v>
      </x:c>
      <x:c r="C41" t="str">
        <x:v>C-1039</x:v>
      </x:c>
      <x:c r="D41" t="str">
        <x:v>SKU-108</x:v>
      </x:c>
      <x:c r="E41" t="n">
        <x:v>1</x:v>
      </x:c>
      <x:c r="F41" s="24" t="n">
        <x:v>42</x:v>
      </x:c>
      <x:c r="G41" s="24" t="n">
        <x:v>42</x:v>
      </x:c>
      <x:c r="H41" s="24" t="n">
        <x:v>0</x:v>
      </x:c>
      <x:c r="I41" s="24" t="n">
        <x:v>2.52</x:v>
      </x:c>
      <x:c r="J41" s="24" t="n">
        <x:v>6.95</x:v>
      </x:c>
      <x:c r="K41" s="24" t="n">
        <x:v>0</x:v>
      </x:c>
      <x:c r="L41" s="24" t="n">
        <x:v>1.79</x:v>
      </x:c>
      <x:c r="M41" s="24" t="n">
        <x:v>49.68</x:v>
      </x:c>
      <x:c r="N41" s="24" t="n">
        <x:v>49.68</x:v>
      </x:c>
      <x:c r="O41" t="str">
        <x:v>Paid</x:v>
      </x:c>
      <x:c r="P41" t="str">
        <x:v>Delivered</x:v>
      </x:c>
      <x:c r="Q41" t="str">
        <x:f>IF(COUNTIF($A$2:$A$241,A41)&gt;1,"DUPLICATE","")</x:f>
      </x:c>
      <x:c r="R41" t="str">
        <x:f>IF(OR(A41="",B41="",C41="",D41="",E41=""),"MISSING","")</x:f>
      </x:c>
      <x:c r="S41" t="str">
        <x:f>IF(COUNTIF('Product Master'!$A$2:$A$9,D41)=0,"INVALID SKU","")</x:f>
      </x:c>
      <x:c r="T41" s="24" t="n">
        <x:f>N41-M41</x:f>
        <x:v>0</x:v>
      </x:c>
      <x:c r="U41" t="str">
        <x:f>IF(AND(K41&gt;0,O41="Paid"),"REFUND STATUS","")</x:f>
      </x:c>
      <x:c r="V41" t="n">
        <x:f>IF(Q41&lt;&gt;"",1,0)+IF(R41&lt;&gt;"",1,0)+IF(S41&lt;&gt;"",1,0)+IF(ABS(T41)&gt;0.01,1,0)+IF(U41&lt;&gt;"",1,0)</x:f>
        <x:v>0</x:v>
      </x:c>
      <x:c r="W41" t="str">
        <x:f>IF(V41=0,"PASS","REVIEW")</x:f>
        <x:v>PASS</x:v>
      </x:c>
    </x:row>
    <x:row r="42">
      <x:c r="A42" t="str">
        <x:v>ORD-5041</x:v>
      </x:c>
      <x:c r="B42" s="26" t="n">
        <x:v>46153</x:v>
      </x:c>
      <x:c r="C42" t="str">
        <x:v>C-1040</x:v>
      </x:c>
      <x:c r="D42" t="str">
        <x:v>SKU-101</x:v>
      </x:c>
      <x:c r="E42" t="n">
        <x:v>2</x:v>
      </x:c>
      <x:c r="F42" s="24" t="n">
        <x:v>24</x:v>
      </x:c>
      <x:c r="G42" s="24" t="n">
        <x:v>48</x:v>
      </x:c>
      <x:c r="H42" s="24" t="n">
        <x:v>0</x:v>
      </x:c>
      <x:c r="I42" s="24" t="n">
        <x:v>2.88</x:v>
      </x:c>
      <x:c r="J42" s="24" t="n">
        <x:v>6.95</x:v>
      </x:c>
      <x:c r="K42" s="24" t="n">
        <x:v>0</x:v>
      </x:c>
      <x:c r="L42" s="24" t="n">
        <x:v>1.98</x:v>
      </x:c>
      <x:c r="M42" s="24" t="n">
        <x:v>55.85</x:v>
      </x:c>
      <x:c r="N42" s="24" t="n">
        <x:v>55.85</x:v>
      </x:c>
      <x:c r="O42" t="str">
        <x:v>Paid</x:v>
      </x:c>
      <x:c r="P42" t="str">
        <x:v>Delivered</x:v>
      </x:c>
      <x:c r="Q42" t="str">
        <x:f>IF(COUNTIF($A$2:$A$241,A42)&gt;1,"DUPLICATE","")</x:f>
        <x:v>DUPLICATE</x:v>
      </x:c>
      <x:c r="R42" t="str">
        <x:f>IF(OR(A42="",B42="",C42="",D42="",E42=""),"MISSING","")</x:f>
      </x:c>
      <x:c r="S42" t="str">
        <x:f>IF(COUNTIF('Product Master'!$A$2:$A$9,D42)=0,"INVALID SKU","")</x:f>
      </x:c>
      <x:c r="T42" s="24" t="n">
        <x:f>N42-M42</x:f>
        <x:v>0</x:v>
      </x:c>
      <x:c r="U42" t="str">
        <x:f>IF(AND(K42&gt;0,O42="Paid"),"REFUND STATUS","")</x:f>
      </x:c>
      <x:c r="V42" t="n">
        <x:f>IF(Q42&lt;&gt;"",1,0)+IF(R42&lt;&gt;"",1,0)+IF(S42&lt;&gt;"",1,0)+IF(ABS(T42)&gt;0.01,1,0)+IF(U42&lt;&gt;"",1,0)</x:f>
        <x:v>1</x:v>
      </x:c>
      <x:c r="W42" t="str">
        <x:f>IF(V42=0,"PASS","REVIEW")</x:f>
        <x:v>REVIEW</x:v>
      </x:c>
    </x:row>
    <x:row r="43">
      <x:c r="A43" t="str">
        <x:v>ORD-5042</x:v>
      </x:c>
      <x:c r="B43" s="26" t="n">
        <x:v>46154</x:v>
      </x:c>
      <x:c r="C43" t="str">
        <x:v>C-1041</x:v>
      </x:c>
      <x:c r="D43" t="str">
        <x:v>SKU-102</x:v>
      </x:c>
      <x:c r="E43" t="n">
        <x:v>3</x:v>
      </x:c>
      <x:c r="F43" s="24" t="n">
        <x:v>28</x:v>
      </x:c>
      <x:c r="G43" s="24" t="n">
        <x:v>84</x:v>
      </x:c>
      <x:c r="H43" s="24" t="n">
        <x:v>0</x:v>
      </x:c>
      <x:c r="I43" s="24" t="n">
        <x:v>5.04</x:v>
      </x:c>
      <x:c r="J43" s="24" t="n">
        <x:v>0</x:v>
      </x:c>
      <x:c r="K43" s="24" t="n">
        <x:v>0</x:v>
      </x:c>
      <x:c r="L43" s="24" t="n">
        <x:v>2.88</x:v>
      </x:c>
      <x:c r="M43" s="24" t="n">
        <x:v>86.16</x:v>
      </x:c>
      <x:c r="N43" s="24" t="n">
        <x:v>86.16</x:v>
      </x:c>
      <x:c r="O43" t="str">
        <x:v>Paid</x:v>
      </x:c>
      <x:c r="P43" t="str">
        <x:v>Delivered</x:v>
      </x:c>
      <x:c r="Q43" t="str">
        <x:f>IF(COUNTIF($A$2:$A$241,A43)&gt;1,"DUPLICATE","")</x:f>
      </x:c>
      <x:c r="R43" t="str">
        <x:f>IF(OR(A43="",B43="",C43="",D43="",E43=""),"MISSING","")</x:f>
      </x:c>
      <x:c r="S43" t="str">
        <x:f>IF(COUNTIF('Product Master'!$A$2:$A$9,D43)=0,"INVALID SKU","")</x:f>
      </x:c>
      <x:c r="T43" s="24" t="n">
        <x:f>N43-M43</x:f>
        <x:v>0</x:v>
      </x:c>
      <x:c r="U43" t="str">
        <x:f>IF(AND(K43&gt;0,O43="Paid"),"REFUND STATUS","")</x:f>
      </x:c>
      <x:c r="V43" t="n">
        <x:f>IF(Q43&lt;&gt;"",1,0)+IF(R43&lt;&gt;"",1,0)+IF(S43&lt;&gt;"",1,0)+IF(ABS(T43)&gt;0.01,1,0)+IF(U43&lt;&gt;"",1,0)</x:f>
        <x:v>0</x:v>
      </x:c>
      <x:c r="W43" t="str">
        <x:f>IF(V43=0,"PASS","REVIEW")</x:f>
        <x:v>PASS</x:v>
      </x:c>
    </x:row>
    <x:row r="44">
      <x:c r="A44" t="str">
        <x:v>ORD-5043</x:v>
      </x:c>
      <x:c r="B44" s="26" t="n">
        <x:v>46155</x:v>
      </x:c>
      <x:c r="C44" t="str">
        <x:v>C-1042</x:v>
      </x:c>
      <x:c r="D44" t="str">
        <x:v>SKU-103</x:v>
      </x:c>
      <x:c r="E44" t="n">
        <x:v>1</x:v>
      </x:c>
      <x:c r="F44" s="24" t="n">
        <x:v>16</x:v>
      </x:c>
      <x:c r="G44" s="24" t="n">
        <x:v>16</x:v>
      </x:c>
      <x:c r="H44" s="24" t="n">
        <x:v>0</x:v>
      </x:c>
      <x:c r="I44" s="24" t="n">
        <x:v>0.96</x:v>
      </x:c>
      <x:c r="J44" s="24" t="n">
        <x:v>6.95</x:v>
      </x:c>
      <x:c r="K44" s="24" t="n">
        <x:v>0</x:v>
      </x:c>
      <x:c r="L44" s="24" t="n">
        <x:v>0.99</x:v>
      </x:c>
      <x:c r="M44" s="24" t="n">
        <x:v>22.92</x:v>
      </x:c>
      <x:c r="N44" s="24" t="n">
        <x:v>22.92</x:v>
      </x:c>
      <x:c r="O44" t="str">
        <x:v>Paid</x:v>
      </x:c>
      <x:c r="P44" t="str">
        <x:v>Delivered</x:v>
      </x:c>
      <x:c r="Q44" t="str">
        <x:f>IF(COUNTIF($A$2:$A$241,A44)&gt;1,"DUPLICATE","")</x:f>
      </x:c>
      <x:c r="R44" t="str">
        <x:f>IF(OR(A44="",B44="",C44="",D44="",E44=""),"MISSING","")</x:f>
      </x:c>
      <x:c r="S44" t="str">
        <x:f>IF(COUNTIF('Product Master'!$A$2:$A$9,D44)=0,"INVALID SKU","")</x:f>
      </x:c>
      <x:c r="T44" s="24" t="n">
        <x:f>N44-M44</x:f>
        <x:v>0</x:v>
      </x:c>
      <x:c r="U44" t="str">
        <x:f>IF(AND(K44&gt;0,O44="Paid"),"REFUND STATUS","")</x:f>
      </x:c>
      <x:c r="V44" t="n">
        <x:f>IF(Q44&lt;&gt;"",1,0)+IF(R44&lt;&gt;"",1,0)+IF(S44&lt;&gt;"",1,0)+IF(ABS(T44)&gt;0.01,1,0)+IF(U44&lt;&gt;"",1,0)</x:f>
        <x:v>0</x:v>
      </x:c>
      <x:c r="W44" t="str">
        <x:f>IF(V44=0,"PASS","REVIEW")</x:f>
        <x:v>PASS</x:v>
      </x:c>
    </x:row>
    <x:row r="45">
      <x:c r="A45" t="str">
        <x:v>ORD-5044</x:v>
      </x:c>
      <x:c r="B45" s="26" t="n">
        <x:v>46156</x:v>
      </x:c>
      <x:c r="C45" t="str">
        <x:v>C-1043</x:v>
      </x:c>
      <x:c r="D45" t="str">
        <x:v>SKU-104</x:v>
      </x:c>
      <x:c r="E45" t="n">
        <x:v>2</x:v>
      </x:c>
      <x:c r="F45" s="24" t="n">
        <x:v>58</x:v>
      </x:c>
      <x:c r="G45" s="24" t="n">
        <x:v>116</x:v>
      </x:c>
      <x:c r="H45" s="24" t="n">
        <x:v>0</x:v>
      </x:c>
      <x:c r="I45" s="24" t="n">
        <x:v>6.96</x:v>
      </x:c>
      <x:c r="J45" s="24" t="n">
        <x:v>0</x:v>
      </x:c>
      <x:c r="K45" s="24" t="n">
        <x:v>0</x:v>
      </x:c>
      <x:c r="L45" s="24" t="n">
        <x:v>3.87</x:v>
      </x:c>
      <x:c r="M45" s="24" t="n">
        <x:v>119.09</x:v>
      </x:c>
      <x:c r="N45" s="24" t="n">
        <x:v>119.09</x:v>
      </x:c>
      <x:c r="O45" t="str">
        <x:v>Paid</x:v>
      </x:c>
      <x:c r="P45" t="str">
        <x:v>Delivered</x:v>
      </x:c>
      <x:c r="Q45" t="str">
        <x:f>IF(COUNTIF($A$2:$A$241,A45)&gt;1,"DUPLICATE","")</x:f>
      </x:c>
      <x:c r="R45" t="str">
        <x:f>IF(OR(A45="",B45="",C45="",D45="",E45=""),"MISSING","")</x:f>
      </x:c>
      <x:c r="S45" t="str">
        <x:f>IF(COUNTIF('Product Master'!$A$2:$A$9,D45)=0,"INVALID SKU","")</x:f>
      </x:c>
      <x:c r="T45" s="24" t="n">
        <x:f>N45-M45</x:f>
        <x:v>0</x:v>
      </x:c>
      <x:c r="U45" t="str">
        <x:f>IF(AND(K45&gt;0,O45="Paid"),"REFUND STATUS","")</x:f>
      </x:c>
      <x:c r="V45" t="n">
        <x:f>IF(Q45&lt;&gt;"",1,0)+IF(R45&lt;&gt;"",1,0)+IF(S45&lt;&gt;"",1,0)+IF(ABS(T45)&gt;0.01,1,0)+IF(U45&lt;&gt;"",1,0)</x:f>
        <x:v>0</x:v>
      </x:c>
      <x:c r="W45" t="str">
        <x:f>IF(V45=0,"PASS","REVIEW")</x:f>
        <x:v>PASS</x:v>
      </x:c>
    </x:row>
    <x:row r="46">
      <x:c r="A46" t="str">
        <x:v>ORD-5045</x:v>
      </x:c>
      <x:c r="B46" s="26" t="n">
        <x:v>46157</x:v>
      </x:c>
      <x:c r="C46" t="str">
        <x:v>C-1044</x:v>
      </x:c>
      <x:c r="D46" t="str">
        <x:v>SKU-105</x:v>
      </x:c>
      <x:c r="E46" t="n">
        <x:v>3</x:v>
      </x:c>
      <x:c r="F46" s="24" t="n">
        <x:v>32</x:v>
      </x:c>
      <x:c r="G46" s="24" t="n">
        <x:v>96</x:v>
      </x:c>
      <x:c r="H46" s="24" t="n">
        <x:v>0</x:v>
      </x:c>
      <x:c r="I46" s="24" t="n">
        <x:v>5.76</x:v>
      </x:c>
      <x:c r="J46" s="24" t="n">
        <x:v>0</x:v>
      </x:c>
      <x:c r="K46" s="24" t="n">
        <x:v>0</x:v>
      </x:c>
      <x:c r="L46" s="24" t="n">
        <x:v>3.25</x:v>
      </x:c>
      <x:c r="M46" s="24" t="n">
        <x:v>98.51</x:v>
      </x:c>
      <x:c r="N46" s="24" t="n">
        <x:v>98.51</x:v>
      </x:c>
      <x:c r="O46" t="str">
        <x:v>Paid</x:v>
      </x:c>
      <x:c r="P46" t="str">
        <x:v>Delivered</x:v>
      </x:c>
      <x:c r="Q46" t="str">
        <x:f>IF(COUNTIF($A$2:$A$241,A46)&gt;1,"DUPLICATE","")</x:f>
      </x:c>
      <x:c r="R46" t="str">
        <x:f>IF(OR(A46="",B46="",C46="",D46="",E46=""),"MISSING","")</x:f>
      </x:c>
      <x:c r="S46" t="str">
        <x:f>IF(COUNTIF('Product Master'!$A$2:$A$9,D46)=0,"INVALID SKU","")</x:f>
      </x:c>
      <x:c r="T46" s="24" t="n">
        <x:f>N46-M46</x:f>
        <x:v>0</x:v>
      </x:c>
      <x:c r="U46" t="str">
        <x:f>IF(AND(K46&gt;0,O46="Paid"),"REFUND STATUS","")</x:f>
      </x:c>
      <x:c r="V46" t="n">
        <x:f>IF(Q46&lt;&gt;"",1,0)+IF(R46&lt;&gt;"",1,0)+IF(S46&lt;&gt;"",1,0)+IF(ABS(T46)&gt;0.01,1,0)+IF(U46&lt;&gt;"",1,0)</x:f>
        <x:v>0</x:v>
      </x:c>
      <x:c r="W46" t="str">
        <x:f>IF(V46=0,"PASS","REVIEW")</x:f>
        <x:v>PASS</x:v>
      </x:c>
    </x:row>
    <x:row r="47">
      <x:c r="A47" t="str">
        <x:v>ORD-5046</x:v>
      </x:c>
      <x:c r="B47" s="26" t="n">
        <x:v>46158</x:v>
      </x:c>
      <x:c r="C47" t="str">
        <x:v>C-1045</x:v>
      </x:c>
      <x:c r="D47" t="str">
        <x:v>SKU-106</x:v>
      </x:c>
      <x:c r="E47" t="n">
        <x:v>1</x:v>
      </x:c>
      <x:c r="F47" s="24" t="n">
        <x:v>36</x:v>
      </x:c>
      <x:c r="G47" s="24" t="n">
        <x:v>36</x:v>
      </x:c>
      <x:c r="H47" s="24" t="n">
        <x:v>3.6</x:v>
      </x:c>
      <x:c r="I47" s="24" t="n">
        <x:v>1.94</x:v>
      </x:c>
      <x:c r="J47" s="24" t="n">
        <x:v>6.95</x:v>
      </x:c>
      <x:c r="K47" s="24" t="n">
        <x:v>0</x:v>
      </x:c>
      <x:c r="L47" s="24" t="n">
        <x:v>1.5</x:v>
      </x:c>
      <x:c r="M47" s="24" t="n">
        <x:v>39.79</x:v>
      </x:c>
      <x:c r="N47" s="24" t="n">
        <x:v>39.79</x:v>
      </x:c>
      <x:c r="O47" t="str">
        <x:v>Paid</x:v>
      </x:c>
      <x:c r="P47" t="str">
        <x:v>Delivered</x:v>
      </x:c>
      <x:c r="Q47" t="str">
        <x:f>IF(COUNTIF($A$2:$A$241,A47)&gt;1,"DUPLICATE","")</x:f>
      </x:c>
      <x:c r="R47" t="str">
        <x:f>IF(OR(A47="",B47="",C47="",D47="",E47=""),"MISSING","")</x:f>
      </x:c>
      <x:c r="S47" t="str">
        <x:f>IF(COUNTIF('Product Master'!$A$2:$A$9,D47)=0,"INVALID SKU","")</x:f>
      </x:c>
      <x:c r="T47" s="24" t="n">
        <x:f>N47-M47</x:f>
        <x:v>0</x:v>
      </x:c>
      <x:c r="U47" t="str">
        <x:f>IF(AND(K47&gt;0,O47="Paid"),"REFUND STATUS","")</x:f>
      </x:c>
      <x:c r="V47" t="n">
        <x:f>IF(Q47&lt;&gt;"",1,0)+IF(R47&lt;&gt;"",1,0)+IF(S47&lt;&gt;"",1,0)+IF(ABS(T47)&gt;0.01,1,0)+IF(U47&lt;&gt;"",1,0)</x:f>
        <x:v>0</x:v>
      </x:c>
      <x:c r="W47" t="str">
        <x:f>IF(V47=0,"PASS","REVIEW")</x:f>
        <x:v>PASS</x:v>
      </x:c>
    </x:row>
    <x:row r="48">
      <x:c r="A48" t="str">
        <x:v>ORD-5047</x:v>
      </x:c>
      <x:c r="B48" s="26" t="n">
        <x:v>46159</x:v>
      </x:c>
      <x:c r="C48" t="str">
        <x:v>C-1046</x:v>
      </x:c>
      <x:c r="D48" t="str">
        <x:v>SKU-107</x:v>
      </x:c>
      <x:c r="E48" t="n">
        <x:v>2</x:v>
      </x:c>
      <x:c r="F48" s="24" t="n">
        <x:v>9</x:v>
      </x:c>
      <x:c r="G48" s="24" t="n">
        <x:v>18</x:v>
      </x:c>
      <x:c r="H48" s="24" t="n">
        <x:v>0</x:v>
      </x:c>
      <x:c r="I48" s="24" t="n">
        <x:v>1.08</x:v>
      </x:c>
      <x:c r="J48" s="24" t="n">
        <x:v>6.95</x:v>
      </x:c>
      <x:c r="K48" s="24" t="n">
        <x:v>0</x:v>
      </x:c>
      <x:c r="L48" s="24" t="n">
        <x:v>1.05</x:v>
      </x:c>
      <x:c r="M48" s="24" t="n">
        <x:v>24.98</x:v>
      </x:c>
      <x:c r="N48" s="24" t="n">
        <x:v>24.98</x:v>
      </x:c>
      <x:c r="O48" t="str">
        <x:v>Paid</x:v>
      </x:c>
      <x:c r="P48" t="str">
        <x:v>Delivered</x:v>
      </x:c>
      <x:c r="Q48" t="str">
        <x:f>IF(COUNTIF($A$2:$A$241,A48)&gt;1,"DUPLICATE","")</x:f>
      </x:c>
      <x:c r="R48" t="str">
        <x:f>IF(OR(A48="",B48="",C48="",D48="",E48=""),"MISSING","")</x:f>
      </x:c>
      <x:c r="S48" t="str">
        <x:f>IF(COUNTIF('Product Master'!$A$2:$A$9,D48)=0,"INVALID SKU","")</x:f>
      </x:c>
      <x:c r="T48" s="24" t="n">
        <x:f>N48-M48</x:f>
        <x:v>0</x:v>
      </x:c>
      <x:c r="U48" t="str">
        <x:f>IF(AND(K48&gt;0,O48="Paid"),"REFUND STATUS","")</x:f>
      </x:c>
      <x:c r="V48" t="n">
        <x:f>IF(Q48&lt;&gt;"",1,0)+IF(R48&lt;&gt;"",1,0)+IF(S48&lt;&gt;"",1,0)+IF(ABS(T48)&gt;0.01,1,0)+IF(U48&lt;&gt;"",1,0)</x:f>
        <x:v>0</x:v>
      </x:c>
      <x:c r="W48" t="str">
        <x:f>IF(V48=0,"PASS","REVIEW")</x:f>
        <x:v>PASS</x:v>
      </x:c>
    </x:row>
    <x:row r="49">
      <x:c r="A49" t="str">
        <x:v>ORD-5048</x:v>
      </x:c>
      <x:c r="B49" s="26" t="n">
        <x:v>46160</x:v>
      </x:c>
      <x:c r="C49" t="str">
        <x:v>C-1047</x:v>
      </x:c>
      <x:c r="D49" t="str">
        <x:v>SKU-108</x:v>
      </x:c>
      <x:c r="E49" t="n">
        <x:v>3</x:v>
      </x:c>
      <x:c r="F49" s="24" t="n">
        <x:v>42</x:v>
      </x:c>
      <x:c r="G49" s="24" t="n">
        <x:v>126</x:v>
      </x:c>
      <x:c r="H49" s="24" t="n">
        <x:v>0</x:v>
      </x:c>
      <x:c r="I49" s="24" t="n">
        <x:v>7.56</x:v>
      </x:c>
      <x:c r="J49" s="24" t="n">
        <x:v>0</x:v>
      </x:c>
      <x:c r="K49" s="24" t="n">
        <x:v>0</x:v>
      </x:c>
      <x:c r="L49" s="24" t="n">
        <x:v>4.17</x:v>
      </x:c>
      <x:c r="M49" s="24" t="n">
        <x:v>129.39</x:v>
      </x:c>
      <x:c r="N49" s="24" t="n">
        <x:v>129.39</x:v>
      </x:c>
      <x:c r="O49" t="str">
        <x:v>Paid</x:v>
      </x:c>
      <x:c r="P49" t="str">
        <x:v>Delivered</x:v>
      </x:c>
      <x:c r="Q49" t="str">
        <x:f>IF(COUNTIF($A$2:$A$241,A49)&gt;1,"DUPLICATE","")</x:f>
      </x:c>
      <x:c r="R49" t="str">
        <x:f>IF(OR(A49="",B49="",C49="",D49="",E49=""),"MISSING","")</x:f>
      </x:c>
      <x:c r="S49" t="str">
        <x:f>IF(COUNTIF('Product Master'!$A$2:$A$9,D49)=0,"INVALID SKU","")</x:f>
      </x:c>
      <x:c r="T49" s="24" t="n">
        <x:f>N49-M49</x:f>
        <x:v>0</x:v>
      </x:c>
      <x:c r="U49" t="str">
        <x:f>IF(AND(K49&gt;0,O49="Paid"),"REFUND STATUS","")</x:f>
      </x:c>
      <x:c r="V49" t="n">
        <x:f>IF(Q49&lt;&gt;"",1,0)+IF(R49&lt;&gt;"",1,0)+IF(S49&lt;&gt;"",1,0)+IF(ABS(T49)&gt;0.01,1,0)+IF(U49&lt;&gt;"",1,0)</x:f>
        <x:v>0</x:v>
      </x:c>
      <x:c r="W49" t="str">
        <x:f>IF(V49=0,"PASS","REVIEW")</x:f>
        <x:v>PASS</x:v>
      </x:c>
    </x:row>
    <x:row r="50">
      <x:c r="A50" t="str">
        <x:v>ORD-5049</x:v>
      </x:c>
      <x:c r="B50" s="26" t="n">
        <x:v>46161</x:v>
      </x:c>
      <x:c r="C50" t="str">
        <x:v>C-1048</x:v>
      </x:c>
      <x:c r="D50" t="str">
        <x:v>SKU-101</x:v>
      </x:c>
      <x:c r="E50" t="n">
        <x:v>1</x:v>
      </x:c>
      <x:c r="F50" s="24" t="n">
        <x:v>24</x:v>
      </x:c>
      <x:c r="G50" s="24" t="n">
        <x:v>24</x:v>
      </x:c>
      <x:c r="H50" s="24" t="n">
        <x:v>0</x:v>
      </x:c>
      <x:c r="I50" s="24" t="n">
        <x:v>1.44</x:v>
      </x:c>
      <x:c r="J50" s="24" t="n">
        <x:v>6.95</x:v>
      </x:c>
      <x:c r="K50" s="24" t="n">
        <x:v>0</x:v>
      </x:c>
      <x:c r="L50" s="24" t="n">
        <x:v>1.24</x:v>
      </x:c>
      <x:c r="M50" s="24" t="n">
        <x:v>31.15</x:v>
      </x:c>
      <x:c r="N50" s="24" t="n">
        <x:v>31.15</x:v>
      </x:c>
      <x:c r="O50" t="str">
        <x:v>Paid</x:v>
      </x:c>
      <x:c r="P50" t="str">
        <x:v>Delivered</x:v>
      </x:c>
      <x:c r="Q50" t="str">
        <x:f>IF(COUNTIF($A$2:$A$241,A50)&gt;1,"DUPLICATE","")</x:f>
      </x:c>
      <x:c r="R50" t="str">
        <x:f>IF(OR(A50="",B50="",C50="",D50="",E50=""),"MISSING","")</x:f>
      </x:c>
      <x:c r="S50" t="str">
        <x:f>IF(COUNTIF('Product Master'!$A$2:$A$9,D50)=0,"INVALID SKU","")</x:f>
      </x:c>
      <x:c r="T50" s="24" t="n">
        <x:f>N50-M50</x:f>
        <x:v>0</x:v>
      </x:c>
      <x:c r="U50" t="str">
        <x:f>IF(AND(K50&gt;0,O50="Paid"),"REFUND STATUS","")</x:f>
      </x:c>
      <x:c r="V50" t="n">
        <x:f>IF(Q50&lt;&gt;"",1,0)+IF(R50&lt;&gt;"",1,0)+IF(S50&lt;&gt;"",1,0)+IF(ABS(T50)&gt;0.01,1,0)+IF(U50&lt;&gt;"",1,0)</x:f>
        <x:v>0</x:v>
      </x:c>
      <x:c r="W50" t="str">
        <x:f>IF(V50=0,"PASS","REVIEW")</x:f>
        <x:v>PASS</x:v>
      </x:c>
    </x:row>
    <x:row r="51">
      <x:c r="A51" t="str">
        <x:v>ORD-5050</x:v>
      </x:c>
      <x:c r="B51" s="26" t="n">
        <x:v>46162</x:v>
      </x:c>
      <x:c r="C51" t="str">
        <x:v>C-1049</x:v>
      </x:c>
      <x:c r="D51" t="str">
        <x:v>SKU-102</x:v>
      </x:c>
      <x:c r="E51" t="n">
        <x:v>2</x:v>
      </x:c>
      <x:c r="F51" s="24" t="n">
        <x:v>28</x:v>
      </x:c>
      <x:c r="G51" s="24" t="n">
        <x:v>56</x:v>
      </x:c>
      <x:c r="H51" s="24" t="n">
        <x:v>0</x:v>
      </x:c>
      <x:c r="I51" s="24" t="n">
        <x:v>3.36</x:v>
      </x:c>
      <x:c r="J51" s="24" t="n">
        <x:v>6.95</x:v>
      </x:c>
      <x:c r="K51" s="24" t="n">
        <x:v>0</x:v>
      </x:c>
      <x:c r="L51" s="24" t="n">
        <x:v>2.22</x:v>
      </x:c>
      <x:c r="M51" s="24" t="n">
        <x:v>64.09</x:v>
      </x:c>
      <x:c r="N51" s="24" t="n">
        <x:v>64.09</x:v>
      </x:c>
      <x:c r="O51" t="str">
        <x:v>Paid</x:v>
      </x:c>
      <x:c r="P51" t="str">
        <x:v>Delivered</x:v>
      </x:c>
      <x:c r="Q51" t="str">
        <x:f>IF(COUNTIF($A$2:$A$241,A51)&gt;1,"DUPLICATE","")</x:f>
      </x:c>
      <x:c r="R51" t="str">
        <x:f>IF(OR(A51="",B51="",C51="",D51="",E51=""),"MISSING","")</x:f>
      </x:c>
      <x:c r="S51" t="str">
        <x:f>IF(COUNTIF('Product Master'!$A$2:$A$9,D51)=0,"INVALID SKU","")</x:f>
      </x:c>
      <x:c r="T51" s="24" t="n">
        <x:f>N51-M51</x:f>
        <x:v>0</x:v>
      </x:c>
      <x:c r="U51" t="str">
        <x:f>IF(AND(K51&gt;0,O51="Paid"),"REFUND STATUS","")</x:f>
      </x:c>
      <x:c r="V51" t="n">
        <x:f>IF(Q51&lt;&gt;"",1,0)+IF(R51&lt;&gt;"",1,0)+IF(S51&lt;&gt;"",1,0)+IF(ABS(T51)&gt;0.01,1,0)+IF(U51&lt;&gt;"",1,0)</x:f>
        <x:v>0</x:v>
      </x:c>
      <x:c r="W51" t="str">
        <x:f>IF(V51=0,"PASS","REVIEW")</x:f>
        <x:v>PASS</x:v>
      </x:c>
    </x:row>
    <x:row r="52">
      <x:c r="A52" t="str">
        <x:v>ORD-5051</x:v>
      </x:c>
      <x:c r="B52" s="26" t="n">
        <x:v>46163</x:v>
      </x:c>
      <x:c r="C52" t="str">
        <x:v>C-1050</x:v>
      </x:c>
      <x:c r="D52" t="str">
        <x:v>SKU-103</x:v>
      </x:c>
      <x:c r="E52" t="n">
        <x:v>3</x:v>
      </x:c>
      <x:c r="F52" s="24" t="n">
        <x:v>16</x:v>
      </x:c>
      <x:c r="G52" s="24" t="n">
        <x:v>48</x:v>
      </x:c>
      <x:c r="H52" s="24" t="n">
        <x:v>0</x:v>
      </x:c>
      <x:c r="I52" s="24" t="n">
        <x:v>2.88</x:v>
      </x:c>
      <x:c r="J52" s="24" t="n">
        <x:v>6.95</x:v>
      </x:c>
      <x:c r="K52" s="24" t="n">
        <x:v>0</x:v>
      </x:c>
      <x:c r="L52" s="24" t="n">
        <x:v>1.98</x:v>
      </x:c>
      <x:c r="M52" s="24" t="n">
        <x:v>55.85</x:v>
      </x:c>
      <x:c r="N52" s="24" t="n">
        <x:v>55.85</x:v>
      </x:c>
      <x:c r="O52" t="str">
        <x:v>Paid</x:v>
      </x:c>
      <x:c r="P52" t="str">
        <x:v>Delivered</x:v>
      </x:c>
      <x:c r="Q52" t="str">
        <x:f>IF(COUNTIF($A$2:$A$241,A52)&gt;1,"DUPLICATE","")</x:f>
      </x:c>
      <x:c r="R52" t="str">
        <x:f>IF(OR(A52="",B52="",C52="",D52="",E52=""),"MISSING","")</x:f>
      </x:c>
      <x:c r="S52" t="str">
        <x:f>IF(COUNTIF('Product Master'!$A$2:$A$9,D52)=0,"INVALID SKU","")</x:f>
      </x:c>
      <x:c r="T52" s="24" t="n">
        <x:f>N52-M52</x:f>
        <x:v>0</x:v>
      </x:c>
      <x:c r="U52" t="str">
        <x:f>IF(AND(K52&gt;0,O52="Paid"),"REFUND STATUS","")</x:f>
      </x:c>
      <x:c r="V52" t="n">
        <x:f>IF(Q52&lt;&gt;"",1,0)+IF(R52&lt;&gt;"",1,0)+IF(S52&lt;&gt;"",1,0)+IF(ABS(T52)&gt;0.01,1,0)+IF(U52&lt;&gt;"",1,0)</x:f>
        <x:v>0</x:v>
      </x:c>
      <x:c r="W52" t="str">
        <x:f>IF(V52=0,"PASS","REVIEW")</x:f>
        <x:v>PASS</x:v>
      </x:c>
    </x:row>
    <x:row r="53">
      <x:c r="A53" t="str">
        <x:v>ORD-5052</x:v>
      </x:c>
      <x:c r="B53" s="26" t="n">
        <x:v>46164</x:v>
      </x:c>
      <x:c r="C53" t="str">
        <x:v>C-1051</x:v>
      </x:c>
      <x:c r="D53" t="str">
        <x:v>SKU-104</x:v>
      </x:c>
      <x:c r="E53" t="n">
        <x:v>1</x:v>
      </x:c>
      <x:c r="F53" s="24" t="n">
        <x:v>58</x:v>
      </x:c>
      <x:c r="G53" s="24" t="n">
        <x:v>58</x:v>
      </x:c>
      <x:c r="H53" s="24" t="n">
        <x:v>0</x:v>
      </x:c>
      <x:c r="I53" s="24" t="n">
        <x:v>3.48</x:v>
      </x:c>
      <x:c r="J53" s="24" t="n">
        <x:v>6.95</x:v>
      </x:c>
      <x:c r="K53" s="24" t="n">
        <x:v>0</x:v>
      </x:c>
      <x:c r="L53" s="24" t="n">
        <x:v>2.28</x:v>
      </x:c>
      <x:c r="M53" s="24" t="n">
        <x:v>66.15</x:v>
      </x:c>
      <x:c r="N53" s="24" t="n">
        <x:v>66.15</x:v>
      </x:c>
      <x:c r="O53" t="str">
        <x:v>Paid</x:v>
      </x:c>
      <x:c r="P53" t="str">
        <x:v>Delivered</x:v>
      </x:c>
      <x:c r="Q53" t="str">
        <x:f>IF(COUNTIF($A$2:$A$241,A53)&gt;1,"DUPLICATE","")</x:f>
      </x:c>
      <x:c r="R53" t="str">
        <x:f>IF(OR(A53="",B53="",C53="",D53="",E53=""),"MISSING","")</x:f>
      </x:c>
      <x:c r="S53" t="str">
        <x:f>IF(COUNTIF('Product Master'!$A$2:$A$9,D53)=0,"INVALID SKU","")</x:f>
      </x:c>
      <x:c r="T53" s="24" t="n">
        <x:f>N53-M53</x:f>
        <x:v>0</x:v>
      </x:c>
      <x:c r="U53" t="str">
        <x:f>IF(AND(K53&gt;0,O53="Paid"),"REFUND STATUS","")</x:f>
      </x:c>
      <x:c r="V53" t="n">
        <x:f>IF(Q53&lt;&gt;"",1,0)+IF(R53&lt;&gt;"",1,0)+IF(S53&lt;&gt;"",1,0)+IF(ABS(T53)&gt;0.01,1,0)+IF(U53&lt;&gt;"",1,0)</x:f>
        <x:v>0</x:v>
      </x:c>
      <x:c r="W53" t="str">
        <x:f>IF(V53=0,"PASS","REVIEW")</x:f>
        <x:v>PASS</x:v>
      </x:c>
    </x:row>
    <x:row r="54">
      <x:c r="A54" t="str">
        <x:v>ORD-5053</x:v>
      </x:c>
      <x:c r="B54" s="26" t="n">
        <x:v>46165</x:v>
      </x:c>
      <x:c r="C54" t="str">
        <x:v>C-1052</x:v>
      </x:c>
      <x:c r="D54" t="str">
        <x:v>SKU-105</x:v>
      </x:c>
      <x:c r="E54" t="n">
        <x:v>2</x:v>
      </x:c>
      <x:c r="F54" s="24" t="n">
        <x:v>32</x:v>
      </x:c>
      <x:c r="G54" s="24" t="n">
        <x:v>64</x:v>
      </x:c>
      <x:c r="H54" s="24" t="n">
        <x:v>0</x:v>
      </x:c>
      <x:c r="I54" s="24" t="n">
        <x:v>3.84</x:v>
      </x:c>
      <x:c r="J54" s="24" t="n">
        <x:v>0</x:v>
      </x:c>
      <x:c r="K54" s="24" t="n">
        <x:v>0</x:v>
      </x:c>
      <x:c r="L54" s="24" t="n">
        <x:v>2.27</x:v>
      </x:c>
      <x:c r="M54" s="24" t="n">
        <x:v>65.57</x:v>
      </x:c>
      <x:c r="N54" s="24" t="n">
        <x:v>78.07</x:v>
      </x:c>
      <x:c r="O54" t="str">
        <x:v>Paid</x:v>
      </x:c>
      <x:c r="P54" t="str">
        <x:v>Delivered</x:v>
      </x:c>
      <x:c r="Q54" t="str">
        <x:f>IF(COUNTIF($A$2:$A$241,A54)&gt;1,"DUPLICATE","")</x:f>
      </x:c>
      <x:c r="R54" t="str">
        <x:f>IF(OR(A54="",B54="",C54="",D54="",E54=""),"MISSING","")</x:f>
      </x:c>
      <x:c r="S54" t="str">
        <x:f>IF(COUNTIF('Product Master'!$A$2:$A$9,D54)=0,"INVALID SKU","")</x:f>
      </x:c>
      <x:c r="T54" s="24" t="n">
        <x:f>N54-M54</x:f>
        <x:v>12.5</x:v>
      </x:c>
      <x:c r="U54" t="str">
        <x:f>IF(AND(K54&gt;0,O54="Paid"),"REFUND STATUS","")</x:f>
      </x:c>
      <x:c r="V54" t="n">
        <x:f>IF(Q54&lt;&gt;"",1,0)+IF(R54&lt;&gt;"",1,0)+IF(S54&lt;&gt;"",1,0)+IF(ABS(T54)&gt;0.01,1,0)+IF(U54&lt;&gt;"",1,0)</x:f>
        <x:v>1</x:v>
      </x:c>
      <x:c r="W54" t="str">
        <x:f>IF(V54=0,"PASS","REVIEW")</x:f>
        <x:v>REVIEW</x:v>
      </x:c>
    </x:row>
    <x:row r="55">
      <x:c r="A55" t="str">
        <x:v>ORD-5054</x:v>
      </x:c>
      <x:c r="B55" s="26" t="n">
        <x:v>46166</x:v>
      </x:c>
      <x:c r="C55" t="str">
        <x:v>C-1053</x:v>
      </x:c>
      <x:c r="D55" t="str">
        <x:v>SKU-106</x:v>
      </x:c>
      <x:c r="E55" t="n">
        <x:v>3</x:v>
      </x:c>
      <x:c r="F55" s="24" t="n">
        <x:v>36</x:v>
      </x:c>
      <x:c r="G55" s="24" t="n">
        <x:v>108</x:v>
      </x:c>
      <x:c r="H55" s="24" t="n">
        <x:v>0</x:v>
      </x:c>
      <x:c r="I55" s="24" t="n">
        <x:v>6.48</x:v>
      </x:c>
      <x:c r="J55" s="24" t="n">
        <x:v>0</x:v>
      </x:c>
      <x:c r="K55" s="24" t="n">
        <x:v>0</x:v>
      </x:c>
      <x:c r="L55" s="24" t="n">
        <x:v>3.62</x:v>
      </x:c>
      <x:c r="M55" s="24" t="n">
        <x:v>110.86</x:v>
      </x:c>
      <x:c r="N55" s="24" t="n">
        <x:v>110.86</x:v>
      </x:c>
      <x:c r="O55" t="str">
        <x:v>Paid</x:v>
      </x:c>
      <x:c r="P55" t="str">
        <x:v>Delivered</x:v>
      </x:c>
      <x:c r="Q55" t="str">
        <x:f>IF(COUNTIF($A$2:$A$241,A55)&gt;1,"DUPLICATE","")</x:f>
      </x:c>
      <x:c r="R55" t="str">
        <x:f>IF(OR(A55="",B55="",C55="",D55="",E55=""),"MISSING","")</x:f>
      </x:c>
      <x:c r="S55" t="str">
        <x:f>IF(COUNTIF('Product Master'!$A$2:$A$9,D55)=0,"INVALID SKU","")</x:f>
      </x:c>
      <x:c r="T55" s="24" t="n">
        <x:f>N55-M55</x:f>
        <x:v>0</x:v>
      </x:c>
      <x:c r="U55" t="str">
        <x:f>IF(AND(K55&gt;0,O55="Paid"),"REFUND STATUS","")</x:f>
      </x:c>
      <x:c r="V55" t="n">
        <x:f>IF(Q55&lt;&gt;"",1,0)+IF(R55&lt;&gt;"",1,0)+IF(S55&lt;&gt;"",1,0)+IF(ABS(T55)&gt;0.01,1,0)+IF(U55&lt;&gt;"",1,0)</x:f>
        <x:v>0</x:v>
      </x:c>
      <x:c r="W55" t="str">
        <x:f>IF(V55=0,"PASS","REVIEW")</x:f>
        <x:v>PASS</x:v>
      </x:c>
    </x:row>
    <x:row r="56">
      <x:c r="A56" t="str">
        <x:v>ORD-5055</x:v>
      </x:c>
      <x:c r="B56" s="26" t="n">
        <x:v>46167</x:v>
      </x:c>
      <x:c r="C56" t="str">
        <x:v>C-1054</x:v>
      </x:c>
      <x:c r="D56" t="str">
        <x:v>SKU-107</x:v>
      </x:c>
      <x:c r="E56" t="n">
        <x:v>1</x:v>
      </x:c>
      <x:c r="F56" s="24" t="n">
        <x:v>9</x:v>
      </x:c>
      <x:c r="G56" s="24" t="n">
        <x:v>9</x:v>
      </x:c>
      <x:c r="H56" s="24" t="n">
        <x:v>0.9</x:v>
      </x:c>
      <x:c r="I56" s="24" t="n">
        <x:v>0.49</x:v>
      </x:c>
      <x:c r="J56" s="24" t="n">
        <x:v>6.95</x:v>
      </x:c>
      <x:c r="K56" s="24" t="n">
        <x:v>0</x:v>
      </x:c>
      <x:c r="L56" s="24" t="n">
        <x:v>0.75</x:v>
      </x:c>
      <x:c r="M56" s="24" t="n">
        <x:v>14.79</x:v>
      </x:c>
      <x:c r="N56" s="24" t="n">
        <x:v>14.79</x:v>
      </x:c>
      <x:c r="O56" t="str">
        <x:v>Paid</x:v>
      </x:c>
      <x:c r="P56" t="str">
        <x:v>Delivered</x:v>
      </x:c>
      <x:c r="Q56" t="str">
        <x:f>IF(COUNTIF($A$2:$A$241,A56)&gt;1,"DUPLICATE","")</x:f>
      </x:c>
      <x:c r="R56" t="str">
        <x:f>IF(OR(A56="",B56="",C56="",D56="",E56=""),"MISSING","")</x:f>
      </x:c>
      <x:c r="S56" t="str">
        <x:f>IF(COUNTIF('Product Master'!$A$2:$A$9,D56)=0,"INVALID SKU","")</x:f>
      </x:c>
      <x:c r="T56" s="24" t="n">
        <x:f>N56-M56</x:f>
        <x:v>0</x:v>
      </x:c>
      <x:c r="U56" t="str">
        <x:f>IF(AND(K56&gt;0,O56="Paid"),"REFUND STATUS","")</x:f>
      </x:c>
      <x:c r="V56" t="n">
        <x:f>IF(Q56&lt;&gt;"",1,0)+IF(R56&lt;&gt;"",1,0)+IF(S56&lt;&gt;"",1,0)+IF(ABS(T56)&gt;0.01,1,0)+IF(U56&lt;&gt;"",1,0)</x:f>
        <x:v>0</x:v>
      </x:c>
      <x:c r="W56" t="str">
        <x:f>IF(V56=0,"PASS","REVIEW")</x:f>
        <x:v>PASS</x:v>
      </x:c>
    </x:row>
    <x:row r="57">
      <x:c r="A57" t="str">
        <x:v>ORD-5056</x:v>
      </x:c>
      <x:c r="B57" s="26" t="n">
        <x:v>46168</x:v>
      </x:c>
      <x:c r="C57" t="str">
        <x:v>C-1055</x:v>
      </x:c>
      <x:c r="D57" t="str">
        <x:v>SKU-108</x:v>
      </x:c>
      <x:c r="E57" t="n">
        <x:v>2</x:v>
      </x:c>
      <x:c r="F57" s="24" t="n">
        <x:v>42</x:v>
      </x:c>
      <x:c r="G57" s="24" t="n">
        <x:v>84</x:v>
      </x:c>
      <x:c r="H57" s="24" t="n">
        <x:v>0</x:v>
      </x:c>
      <x:c r="I57" s="24" t="n">
        <x:v>5.04</x:v>
      </x:c>
      <x:c r="J57" s="24" t="n">
        <x:v>0</x:v>
      </x:c>
      <x:c r="K57" s="24" t="n">
        <x:v>0</x:v>
      </x:c>
      <x:c r="L57" s="24" t="n">
        <x:v>2.88</x:v>
      </x:c>
      <x:c r="M57" s="24" t="n">
        <x:v>86.16</x:v>
      </x:c>
      <x:c r="N57" s="24" t="n">
        <x:v>86.16</x:v>
      </x:c>
      <x:c r="O57" t="str">
        <x:v>Paid</x:v>
      </x:c>
      <x:c r="P57" t="str">
        <x:v>Delivered</x:v>
      </x:c>
      <x:c r="Q57" t="str">
        <x:f>IF(COUNTIF($A$2:$A$241,A57)&gt;1,"DUPLICATE","")</x:f>
      </x:c>
      <x:c r="R57" t="str">
        <x:f>IF(OR(A57="",B57="",C57="",D57="",E57=""),"MISSING","")</x:f>
      </x:c>
      <x:c r="S57" t="str">
        <x:f>IF(COUNTIF('Product Master'!$A$2:$A$9,D57)=0,"INVALID SKU","")</x:f>
      </x:c>
      <x:c r="T57" s="24" t="n">
        <x:f>N57-M57</x:f>
        <x:v>0</x:v>
      </x:c>
      <x:c r="U57" t="str">
        <x:f>IF(AND(K57&gt;0,O57="Paid"),"REFUND STATUS","")</x:f>
      </x:c>
      <x:c r="V57" t="n">
        <x:f>IF(Q57&lt;&gt;"",1,0)+IF(R57&lt;&gt;"",1,0)+IF(S57&lt;&gt;"",1,0)+IF(ABS(T57)&gt;0.01,1,0)+IF(U57&lt;&gt;"",1,0)</x:f>
        <x:v>0</x:v>
      </x:c>
      <x:c r="W57" t="str">
        <x:f>IF(V57=0,"PASS","REVIEW")</x:f>
        <x:v>PASS</x:v>
      </x:c>
    </x:row>
    <x:row r="58">
      <x:c r="A58" t="str">
        <x:v>ORD-5057</x:v>
      </x:c>
      <x:c r="B58" s="26" t="n">
        <x:v>46169</x:v>
      </x:c>
      <x:c r="C58" t="str">
        <x:v>C-1056</x:v>
      </x:c>
      <x:c r="D58" t="str">
        <x:v>SKU-101</x:v>
      </x:c>
      <x:c r="E58" t="n">
        <x:v>3</x:v>
      </x:c>
      <x:c r="F58" s="24" t="n">
        <x:v>24</x:v>
      </x:c>
      <x:c r="G58" s="24" t="n">
        <x:v>72</x:v>
      </x:c>
      <x:c r="H58" s="24" t="n">
        <x:v>0</x:v>
      </x:c>
      <x:c r="I58" s="24" t="n">
        <x:v>4.32</x:v>
      </x:c>
      <x:c r="J58" s="24" t="n">
        <x:v>0</x:v>
      </x:c>
      <x:c r="K58" s="24" t="n">
        <x:v>0</x:v>
      </x:c>
      <x:c r="L58" s="24" t="n">
        <x:v>2.51</x:v>
      </x:c>
      <x:c r="M58" s="24" t="n">
        <x:v>73.81</x:v>
      </x:c>
      <x:c r="N58" s="24" t="n">
        <x:v>73.81</x:v>
      </x:c>
      <x:c r="O58" t="str">
        <x:v>Paid</x:v>
      </x:c>
      <x:c r="P58" t="str">
        <x:v>Delivered</x:v>
      </x:c>
      <x:c r="Q58" t="str">
        <x:f>IF(COUNTIF($A$2:$A$241,A58)&gt;1,"DUPLICATE","")</x:f>
      </x:c>
      <x:c r="R58" t="str">
        <x:f>IF(OR(A58="",B58="",C58="",D58="",E58=""),"MISSING","")</x:f>
      </x:c>
      <x:c r="S58" t="str">
        <x:f>IF(COUNTIF('Product Master'!$A$2:$A$9,D58)=0,"INVALID SKU","")</x:f>
      </x:c>
      <x:c r="T58" s="24" t="n">
        <x:f>N58-M58</x:f>
        <x:v>0</x:v>
      </x:c>
      <x:c r="U58" t="str">
        <x:f>IF(AND(K58&gt;0,O58="Paid"),"REFUND STATUS","")</x:f>
      </x:c>
      <x:c r="V58" t="n">
        <x:f>IF(Q58&lt;&gt;"",1,0)+IF(R58&lt;&gt;"",1,0)+IF(S58&lt;&gt;"",1,0)+IF(ABS(T58)&gt;0.01,1,0)+IF(U58&lt;&gt;"",1,0)</x:f>
        <x:v>0</x:v>
      </x:c>
      <x:c r="W58" t="str">
        <x:f>IF(V58=0,"PASS","REVIEW")</x:f>
        <x:v>PASS</x:v>
      </x:c>
    </x:row>
    <x:row r="59">
      <x:c r="A59" t="str">
        <x:v>ORD-5058</x:v>
      </x:c>
      <x:c r="B59" s="26" t="n">
        <x:v>46170</x:v>
      </x:c>
      <x:c r="C59" t="str">
        <x:v>C-1057</x:v>
      </x:c>
      <x:c r="D59" t="str">
        <x:v>SKU-102</x:v>
      </x:c>
      <x:c r="E59" t="n">
        <x:v>1</x:v>
      </x:c>
      <x:c r="F59" s="24" t="n">
        <x:v>28</x:v>
      </x:c>
      <x:c r="G59" s="24" t="n">
        <x:v>28</x:v>
      </x:c>
      <x:c r="H59" s="24" t="n">
        <x:v>0</x:v>
      </x:c>
      <x:c r="I59" s="24" t="n">
        <x:v>1.68</x:v>
      </x:c>
      <x:c r="J59" s="24" t="n">
        <x:v>6.95</x:v>
      </x:c>
      <x:c r="K59" s="24" t="n">
        <x:v>0</x:v>
      </x:c>
      <x:c r="L59" s="24" t="n">
        <x:v>1.36</x:v>
      </x:c>
      <x:c r="M59" s="24" t="n">
        <x:v>35.27</x:v>
      </x:c>
      <x:c r="N59" s="24" t="n">
        <x:v>35.27</x:v>
      </x:c>
      <x:c r="O59" t="str">
        <x:v>Paid</x:v>
      </x:c>
      <x:c r="P59" t="str">
        <x:v>Delivered</x:v>
      </x:c>
      <x:c r="Q59" t="str">
        <x:f>IF(COUNTIF($A$2:$A$241,A59)&gt;1,"DUPLICATE","")</x:f>
      </x:c>
      <x:c r="R59" t="str">
        <x:f>IF(OR(A59="",B59="",C59="",D59="",E59=""),"MISSING","")</x:f>
      </x:c>
      <x:c r="S59" t="str">
        <x:f>IF(COUNTIF('Product Master'!$A$2:$A$9,D59)=0,"INVALID SKU","")</x:f>
      </x:c>
      <x:c r="T59" s="24" t="n">
        <x:f>N59-M59</x:f>
        <x:v>0</x:v>
      </x:c>
      <x:c r="U59" t="str">
        <x:f>IF(AND(K59&gt;0,O59="Paid"),"REFUND STATUS","")</x:f>
      </x:c>
      <x:c r="V59" t="n">
        <x:f>IF(Q59&lt;&gt;"",1,0)+IF(R59&lt;&gt;"",1,0)+IF(S59&lt;&gt;"",1,0)+IF(ABS(T59)&gt;0.01,1,0)+IF(U59&lt;&gt;"",1,0)</x:f>
        <x:v>0</x:v>
      </x:c>
      <x:c r="W59" t="str">
        <x:f>IF(V59=0,"PASS","REVIEW")</x:f>
        <x:v>PASS</x:v>
      </x:c>
    </x:row>
    <x:row r="60">
      <x:c r="A60" t="str">
        <x:v>ORD-5059</x:v>
      </x:c>
      <x:c r="B60" s="26" t="n">
        <x:v>46171</x:v>
      </x:c>
      <x:c r="C60" t="str">
        <x:v>C-1058</x:v>
      </x:c>
      <x:c r="D60" t="str">
        <x:v>SKU-103</x:v>
      </x:c>
      <x:c r="E60" t="n">
        <x:v>2</x:v>
      </x:c>
      <x:c r="F60" s="24" t="n">
        <x:v>16</x:v>
      </x:c>
      <x:c r="G60" s="24" t="n">
        <x:v>32</x:v>
      </x:c>
      <x:c r="H60" s="24" t="n">
        <x:v>0</x:v>
      </x:c>
      <x:c r="I60" s="24" t="n">
        <x:v>1.92</x:v>
      </x:c>
      <x:c r="J60" s="24" t="n">
        <x:v>6.95</x:v>
      </x:c>
      <x:c r="K60" s="24" t="n">
        <x:v>0</x:v>
      </x:c>
      <x:c r="L60" s="24" t="n">
        <x:v>1.49</x:v>
      </x:c>
      <x:c r="M60" s="24" t="n">
        <x:v>39.38</x:v>
      </x:c>
      <x:c r="N60" s="24" t="n">
        <x:v>39.38</x:v>
      </x:c>
      <x:c r="O60" t="str">
        <x:v>Paid</x:v>
      </x:c>
      <x:c r="P60" t="str">
        <x:v>Delivered</x:v>
      </x:c>
      <x:c r="Q60" t="str">
        <x:f>IF(COUNTIF($A$2:$A$241,A60)&gt;1,"DUPLICATE","")</x:f>
      </x:c>
      <x:c r="R60" t="str">
        <x:f>IF(OR(A60="",B60="",C60="",D60="",E60=""),"MISSING","")</x:f>
      </x:c>
      <x:c r="S60" t="str">
        <x:f>IF(COUNTIF('Product Master'!$A$2:$A$9,D60)=0,"INVALID SKU","")</x:f>
      </x:c>
      <x:c r="T60" s="24" t="n">
        <x:f>N60-M60</x:f>
        <x:v>0</x:v>
      </x:c>
      <x:c r="U60" t="str">
        <x:f>IF(AND(K60&gt;0,O60="Paid"),"REFUND STATUS","")</x:f>
      </x:c>
      <x:c r="V60" t="n">
        <x:f>IF(Q60&lt;&gt;"",1,0)+IF(R60&lt;&gt;"",1,0)+IF(S60&lt;&gt;"",1,0)+IF(ABS(T60)&gt;0.01,1,0)+IF(U60&lt;&gt;"",1,0)</x:f>
        <x:v>0</x:v>
      </x:c>
      <x:c r="W60" t="str">
        <x:f>IF(V60=0,"PASS","REVIEW")</x:f>
        <x:v>PASS</x:v>
      </x:c>
    </x:row>
    <x:row r="61">
      <x:c r="A61" t="str">
        <x:v>ORD-5060</x:v>
      </x:c>
      <x:c r="B61" s="26" t="n">
        <x:v>46172</x:v>
      </x:c>
      <x:c r="C61" t="str">
        <x:v>C-1059</x:v>
      </x:c>
      <x:c r="D61" t="str">
        <x:v>SKU-104</x:v>
      </x:c>
      <x:c r="E61" t="n">
        <x:v>3</x:v>
      </x:c>
      <x:c r="F61" s="24" t="n">
        <x:v>58</x:v>
      </x:c>
      <x:c r="G61" s="24" t="n">
        <x:v>174</x:v>
      </x:c>
      <x:c r="H61" s="24" t="n">
        <x:v>0</x:v>
      </x:c>
      <x:c r="I61" s="24" t="n">
        <x:v>10.44</x:v>
      </x:c>
      <x:c r="J61" s="24" t="n">
        <x:v>0</x:v>
      </x:c>
      <x:c r="K61" s="24" t="n">
        <x:v>0</x:v>
      </x:c>
      <x:c r="L61" s="24" t="n">
        <x:v>5.65</x:v>
      </x:c>
      <x:c r="M61" s="24" t="n">
        <x:v>178.79</x:v>
      </x:c>
      <x:c r="N61" s="24" t="n">
        <x:v>178.79</x:v>
      </x:c>
      <x:c r="O61" t="str">
        <x:v>Paid</x:v>
      </x:c>
      <x:c r="P61" t="str">
        <x:v>Delivered</x:v>
      </x:c>
      <x:c r="Q61" t="str">
        <x:f>IF(COUNTIF($A$2:$A$241,A61)&gt;1,"DUPLICATE","")</x:f>
      </x:c>
      <x:c r="R61" t="str">
        <x:f>IF(OR(A61="",B61="",C61="",D61="",E61=""),"MISSING","")</x:f>
      </x:c>
      <x:c r="S61" t="str">
        <x:f>IF(COUNTIF('Product Master'!$A$2:$A$9,D61)=0,"INVALID SKU","")</x:f>
      </x:c>
      <x:c r="T61" s="24" t="n">
        <x:f>N61-M61</x:f>
        <x:v>0</x:v>
      </x:c>
      <x:c r="U61" t="str">
        <x:f>IF(AND(K61&gt;0,O61="Paid"),"REFUND STATUS","")</x:f>
      </x:c>
      <x:c r="V61" t="n">
        <x:f>IF(Q61&lt;&gt;"",1,0)+IF(R61&lt;&gt;"",1,0)+IF(S61&lt;&gt;"",1,0)+IF(ABS(T61)&gt;0.01,1,0)+IF(U61&lt;&gt;"",1,0)</x:f>
        <x:v>0</x:v>
      </x:c>
      <x:c r="W61" t="str">
        <x:f>IF(V61=0,"PASS","REVIEW")</x:f>
        <x:v>PASS</x:v>
      </x:c>
    </x:row>
    <x:row r="62">
      <x:c r="A62" t="str">
        <x:v>ORD-5061</x:v>
      </x:c>
      <x:c r="B62" s="26" t="n">
        <x:v>46173</x:v>
      </x:c>
      <x:c r="C62" t="str">
        <x:v>C-1060</x:v>
      </x:c>
      <x:c r="D62" t="str">
        <x:v>SKU-105</x:v>
      </x:c>
      <x:c r="E62" t="n">
        <x:v>1</x:v>
      </x:c>
      <x:c r="F62" s="24" t="n">
        <x:v>32</x:v>
      </x:c>
      <x:c r="G62" s="24" t="n">
        <x:v>32</x:v>
      </x:c>
      <x:c r="H62" s="24" t="n">
        <x:v>0</x:v>
      </x:c>
      <x:c r="I62" s="24" t="n">
        <x:v>1.92</x:v>
      </x:c>
      <x:c r="J62" s="24" t="n">
        <x:v>6.95</x:v>
      </x:c>
      <x:c r="K62" s="24" t="n">
        <x:v>0</x:v>
      </x:c>
      <x:c r="L62" s="24" t="n">
        <x:v>1.49</x:v>
      </x:c>
      <x:c r="M62" s="24" t="n">
        <x:v>39.38</x:v>
      </x:c>
      <x:c r="N62" s="24" t="n">
        <x:v>39.38</x:v>
      </x:c>
      <x:c r="O62" t="str">
        <x:v>Paid</x:v>
      </x:c>
      <x:c r="P62" t="str">
        <x:v>Delivered</x:v>
      </x:c>
      <x:c r="Q62" t="str">
        <x:f>IF(COUNTIF($A$2:$A$241,A62)&gt;1,"DUPLICATE","")</x:f>
      </x:c>
      <x:c r="R62" t="str">
        <x:f>IF(OR(A62="",B62="",C62="",D62="",E62=""),"MISSING","")</x:f>
      </x:c>
      <x:c r="S62" t="str">
        <x:f>IF(COUNTIF('Product Master'!$A$2:$A$9,D62)=0,"INVALID SKU","")</x:f>
      </x:c>
      <x:c r="T62" s="24" t="n">
        <x:f>N62-M62</x:f>
        <x:v>0</x:v>
      </x:c>
      <x:c r="U62" t="str">
        <x:f>IF(AND(K62&gt;0,O62="Paid"),"REFUND STATUS","")</x:f>
      </x:c>
      <x:c r="V62" t="n">
        <x:f>IF(Q62&lt;&gt;"",1,0)+IF(R62&lt;&gt;"",1,0)+IF(S62&lt;&gt;"",1,0)+IF(ABS(T62)&gt;0.01,1,0)+IF(U62&lt;&gt;"",1,0)</x:f>
        <x:v>0</x:v>
      </x:c>
      <x:c r="W62" t="str">
        <x:f>IF(V62=0,"PASS","REVIEW")</x:f>
        <x:v>PASS</x:v>
      </x:c>
    </x:row>
    <x:row r="63">
      <x:c r="A63" t="str">
        <x:v>ORD-5062</x:v>
      </x:c>
      <x:c r="B63" s="26" t="n">
        <x:v>46174</x:v>
      </x:c>
      <x:c r="C63" t="str">
        <x:v>C-1061</x:v>
      </x:c>
      <x:c r="D63" t="str">
        <x:v>SKU-106</x:v>
      </x:c>
      <x:c r="E63" t="n">
        <x:v>2</x:v>
      </x:c>
      <x:c r="F63" s="24" t="n">
        <x:v>36</x:v>
      </x:c>
      <x:c r="G63" s="24" t="n">
        <x:v>72</x:v>
      </x:c>
      <x:c r="H63" s="24" t="n">
        <x:v>0</x:v>
      </x:c>
      <x:c r="I63" s="24" t="n">
        <x:v>4.32</x:v>
      </x:c>
      <x:c r="J63" s="24" t="n">
        <x:v>0</x:v>
      </x:c>
      <x:c r="K63" s="24" t="n">
        <x:v>0</x:v>
      </x:c>
      <x:c r="L63" s="24" t="n">
        <x:v>2.51</x:v>
      </x:c>
      <x:c r="M63" s="24" t="n">
        <x:v>73.81</x:v>
      </x:c>
      <x:c r="N63" s="24" t="n">
        <x:v>73.81</x:v>
      </x:c>
      <x:c r="O63" t="str">
        <x:v>Paid</x:v>
      </x:c>
      <x:c r="P63" t="str">
        <x:v>Delivered</x:v>
      </x:c>
      <x:c r="Q63" t="str">
        <x:f>IF(COUNTIF($A$2:$A$241,A63)&gt;1,"DUPLICATE","")</x:f>
      </x:c>
      <x:c r="R63" t="str">
        <x:f>IF(OR(A63="",B63="",C63="",D63="",E63=""),"MISSING","")</x:f>
      </x:c>
      <x:c r="S63" t="str">
        <x:f>IF(COUNTIF('Product Master'!$A$2:$A$9,D63)=0,"INVALID SKU","")</x:f>
      </x:c>
      <x:c r="T63" s="24" t="n">
        <x:f>N63-M63</x:f>
        <x:v>0</x:v>
      </x:c>
      <x:c r="U63" t="str">
        <x:f>IF(AND(K63&gt;0,O63="Paid"),"REFUND STATUS","")</x:f>
      </x:c>
      <x:c r="V63" t="n">
        <x:f>IF(Q63&lt;&gt;"",1,0)+IF(R63&lt;&gt;"",1,0)+IF(S63&lt;&gt;"",1,0)+IF(ABS(T63)&gt;0.01,1,0)+IF(U63&lt;&gt;"",1,0)</x:f>
        <x:v>0</x:v>
      </x:c>
      <x:c r="W63" t="str">
        <x:f>IF(V63=0,"PASS","REVIEW")</x:f>
        <x:v>PASS</x:v>
      </x:c>
    </x:row>
    <x:row r="64">
      <x:c r="A64" t="str">
        <x:v>ORD-5063</x:v>
      </x:c>
      <x:c r="B64" s="26" t="n">
        <x:v>46175</x:v>
      </x:c>
      <x:c r="C64" t="str">
        <x:v>C-1062</x:v>
      </x:c>
      <x:c r="D64" t="str">
        <x:v>SKU-107</x:v>
      </x:c>
      <x:c r="E64" t="n">
        <x:v>3</x:v>
      </x:c>
      <x:c r="F64" s="24" t="n">
        <x:v>9</x:v>
      </x:c>
      <x:c r="G64" s="24" t="n">
        <x:v>27</x:v>
      </x:c>
      <x:c r="H64" s="24" t="n">
        <x:v>0</x:v>
      </x:c>
      <x:c r="I64" s="24" t="n">
        <x:v>1.62</x:v>
      </x:c>
      <x:c r="J64" s="24" t="n">
        <x:v>6.95</x:v>
      </x:c>
      <x:c r="K64" s="24" t="n">
        <x:v>0</x:v>
      </x:c>
      <x:c r="L64" s="24" t="n">
        <x:v>1.33</x:v>
      </x:c>
      <x:c r="M64" s="24" t="n">
        <x:v>34.24</x:v>
      </x:c>
      <x:c r="N64" s="24" t="n">
        <x:v>34.24</x:v>
      </x:c>
      <x:c r="O64" t="str">
        <x:v>Paid</x:v>
      </x:c>
      <x:c r="P64" t="str">
        <x:v>Delivered</x:v>
      </x:c>
      <x:c r="Q64" t="str">
        <x:f>IF(COUNTIF($A$2:$A$241,A64)&gt;1,"DUPLICATE","")</x:f>
      </x:c>
      <x:c r="R64" t="str">
        <x:f>IF(OR(A64="",B64="",C64="",D64="",E64=""),"MISSING","")</x:f>
      </x:c>
      <x:c r="S64" t="str">
        <x:f>IF(COUNTIF('Product Master'!$A$2:$A$9,D64)=0,"INVALID SKU","")</x:f>
      </x:c>
      <x:c r="T64" s="24" t="n">
        <x:f>N64-M64</x:f>
        <x:v>0</x:v>
      </x:c>
      <x:c r="U64" t="str">
        <x:f>IF(AND(K64&gt;0,O64="Paid"),"REFUND STATUS","")</x:f>
      </x:c>
      <x:c r="V64" t="n">
        <x:f>IF(Q64&lt;&gt;"",1,0)+IF(R64&lt;&gt;"",1,0)+IF(S64&lt;&gt;"",1,0)+IF(ABS(T64)&gt;0.01,1,0)+IF(U64&lt;&gt;"",1,0)</x:f>
        <x:v>0</x:v>
      </x:c>
      <x:c r="W64" t="str">
        <x:f>IF(V64=0,"PASS","REVIEW")</x:f>
        <x:v>PASS</x:v>
      </x:c>
    </x:row>
    <x:row r="65">
      <x:c r="A65" t="str">
        <x:v>ORD-5064</x:v>
      </x:c>
      <x:c r="B65" s="26" t="n">
        <x:v>46176</x:v>
      </x:c>
      <x:c r="C65" t="str">
        <x:v>C-1063</x:v>
      </x:c>
      <x:c r="D65" t="str">
        <x:v>SKU-108</x:v>
      </x:c>
      <x:c r="E65" t="n">
        <x:v>1</x:v>
      </x:c>
      <x:c r="F65" s="24" t="n">
        <x:v>42</x:v>
      </x:c>
      <x:c r="G65" s="24" t="n">
        <x:v>42</x:v>
      </x:c>
      <x:c r="H65" s="24" t="n">
        <x:v>4.2</x:v>
      </x:c>
      <x:c r="I65" s="24" t="n">
        <x:v>2.27</x:v>
      </x:c>
      <x:c r="J65" s="24" t="n">
        <x:v>6.95</x:v>
      </x:c>
      <x:c r="K65" s="24" t="n">
        <x:v>0</x:v>
      </x:c>
      <x:c r="L65" s="24" t="n">
        <x:v>1.66</x:v>
      </x:c>
      <x:c r="M65" s="24" t="n">
        <x:v>45.36</x:v>
      </x:c>
      <x:c r="N65" s="24" t="n">
        <x:v>45.36</x:v>
      </x:c>
      <x:c r="O65" t="str">
        <x:v>Paid</x:v>
      </x:c>
      <x:c r="P65" t="str">
        <x:v>Delivered</x:v>
      </x:c>
      <x:c r="Q65" t="str">
        <x:f>IF(COUNTIF($A$2:$A$241,A65)&gt;1,"DUPLICATE","")</x:f>
      </x:c>
      <x:c r="R65" t="str">
        <x:f>IF(OR(A65="",B65="",C65="",D65="",E65=""),"MISSING","")</x:f>
      </x:c>
      <x:c r="S65" t="str">
        <x:f>IF(COUNTIF('Product Master'!$A$2:$A$9,D65)=0,"INVALID SKU","")</x:f>
      </x:c>
      <x:c r="T65" s="24" t="n">
        <x:f>N65-M65</x:f>
        <x:v>0</x:v>
      </x:c>
      <x:c r="U65" t="str">
        <x:f>IF(AND(K65&gt;0,O65="Paid"),"REFUND STATUS","")</x:f>
      </x:c>
      <x:c r="V65" t="n">
        <x:f>IF(Q65&lt;&gt;"",1,0)+IF(R65&lt;&gt;"",1,0)+IF(S65&lt;&gt;"",1,0)+IF(ABS(T65)&gt;0.01,1,0)+IF(U65&lt;&gt;"",1,0)</x:f>
        <x:v>0</x:v>
      </x:c>
      <x:c r="W65" t="str">
        <x:f>IF(V65=0,"PASS","REVIEW")</x:f>
        <x:v>PASS</x:v>
      </x:c>
    </x:row>
    <x:row r="66">
      <x:c r="A66" t="str">
        <x:v>ORD-5065</x:v>
      </x:c>
      <x:c r="B66" s="26" t="n">
        <x:v>46177</x:v>
      </x:c>
      <x:c r="C66" t="str">
        <x:v>C-1064</x:v>
      </x:c>
      <x:c r="D66" t="str">
        <x:v>SKU-101</x:v>
      </x:c>
      <x:c r="E66" t="n">
        <x:v>2</x:v>
      </x:c>
      <x:c r="F66" s="24" t="n">
        <x:v>24</x:v>
      </x:c>
      <x:c r="G66" s="24" t="n">
        <x:v>48</x:v>
      </x:c>
      <x:c r="H66" s="24" t="n">
        <x:v>0</x:v>
      </x:c>
      <x:c r="I66" s="24" t="n">
        <x:v>2.88</x:v>
      </x:c>
      <x:c r="J66" s="24" t="n">
        <x:v>6.95</x:v>
      </x:c>
      <x:c r="K66" s="24" t="n">
        <x:v>0</x:v>
      </x:c>
      <x:c r="L66" s="24" t="n">
        <x:v>1.98</x:v>
      </x:c>
      <x:c r="M66" s="24" t="n">
        <x:v>55.85</x:v>
      </x:c>
      <x:c r="N66" s="24" t="n">
        <x:v>55.85</x:v>
      </x:c>
      <x:c r="O66" t="str">
        <x:v>Paid</x:v>
      </x:c>
      <x:c r="P66" t="str">
        <x:v>Delivered</x:v>
      </x:c>
      <x:c r="Q66" t="str">
        <x:f>IF(COUNTIF($A$2:$A$241,A66)&gt;1,"DUPLICATE","")</x:f>
      </x:c>
      <x:c r="R66" t="str">
        <x:f>IF(OR(A66="",B66="",C66="",D66="",E66=""),"MISSING","")</x:f>
      </x:c>
      <x:c r="S66" t="str">
        <x:f>IF(COUNTIF('Product Master'!$A$2:$A$9,D66)=0,"INVALID SKU","")</x:f>
      </x:c>
      <x:c r="T66" s="24" t="n">
        <x:f>N66-M66</x:f>
        <x:v>0</x:v>
      </x:c>
      <x:c r="U66" t="str">
        <x:f>IF(AND(K66&gt;0,O66="Paid"),"REFUND STATUS","")</x:f>
      </x:c>
      <x:c r="V66" t="n">
        <x:f>IF(Q66&lt;&gt;"",1,0)+IF(R66&lt;&gt;"",1,0)+IF(S66&lt;&gt;"",1,0)+IF(ABS(T66)&gt;0.01,1,0)+IF(U66&lt;&gt;"",1,0)</x:f>
        <x:v>0</x:v>
      </x:c>
      <x:c r="W66" t="str">
        <x:f>IF(V66=0,"PASS","REVIEW")</x:f>
        <x:v>PASS</x:v>
      </x:c>
    </x:row>
    <x:row r="67">
      <x:c r="A67" t="str">
        <x:v>ORD-5066</x:v>
      </x:c>
      <x:c r="B67" s="26" t="n">
        <x:v>46178</x:v>
      </x:c>
      <x:c r="C67" t="str">
        <x:v>C-1065</x:v>
      </x:c>
      <x:c r="D67" t="str">
        <x:v>SKU-102</x:v>
      </x:c>
      <x:c r="E67" t="n">
        <x:v>3</x:v>
      </x:c>
      <x:c r="F67" s="24" t="n">
        <x:v>28</x:v>
      </x:c>
      <x:c r="G67" s="24" t="n">
        <x:v>84</x:v>
      </x:c>
      <x:c r="H67" s="24" t="n">
        <x:v>0</x:v>
      </x:c>
      <x:c r="I67" s="24" t="n">
        <x:v>5.04</x:v>
      </x:c>
      <x:c r="J67" s="24" t="n">
        <x:v>0</x:v>
      </x:c>
      <x:c r="K67" s="24" t="n">
        <x:v>0</x:v>
      </x:c>
      <x:c r="L67" s="24" t="n">
        <x:v>2.88</x:v>
      </x:c>
      <x:c r="M67" s="24" t="n">
        <x:v>86.16</x:v>
      </x:c>
      <x:c r="N67" s="24" t="n">
        <x:v>86.16</x:v>
      </x:c>
      <x:c r="O67" t="str">
        <x:v>Paid</x:v>
      </x:c>
      <x:c r="P67" t="str">
        <x:v>Delivered</x:v>
      </x:c>
      <x:c r="Q67" t="str">
        <x:f>IF(COUNTIF($A$2:$A$241,A67)&gt;1,"DUPLICATE","")</x:f>
      </x:c>
      <x:c r="R67" t="str">
        <x:f>IF(OR(A67="",B67="",C67="",D67="",E67=""),"MISSING","")</x:f>
      </x:c>
      <x:c r="S67" t="str">
        <x:f>IF(COUNTIF('Product Master'!$A$2:$A$9,D67)=0,"INVALID SKU","")</x:f>
      </x:c>
      <x:c r="T67" s="24" t="n">
        <x:f>N67-M67</x:f>
        <x:v>0</x:v>
      </x:c>
      <x:c r="U67" t="str">
        <x:f>IF(AND(K67&gt;0,O67="Paid"),"REFUND STATUS","")</x:f>
      </x:c>
      <x:c r="V67" t="n">
        <x:f>IF(Q67&lt;&gt;"",1,0)+IF(R67&lt;&gt;"",1,0)+IF(S67&lt;&gt;"",1,0)+IF(ABS(T67)&gt;0.01,1,0)+IF(U67&lt;&gt;"",1,0)</x:f>
        <x:v>0</x:v>
      </x:c>
      <x:c r="W67" t="str">
        <x:f>IF(V67=0,"PASS","REVIEW")</x:f>
        <x:v>PASS</x:v>
      </x:c>
    </x:row>
    <x:row r="68">
      <x:c r="A68" t="str">
        <x:v>ORD-5067</x:v>
      </x:c>
      <x:c r="B68" s="26" t="n">
        <x:v>46179</x:v>
      </x:c>
      <x:c r="C68" t="str">
        <x:v>C-1066</x:v>
      </x:c>
      <x:c r="D68" t="str">
        <x:v>SKU-103</x:v>
      </x:c>
      <x:c r="E68" t="n">
        <x:v>1</x:v>
      </x:c>
      <x:c r="F68" s="24" t="n">
        <x:v>16</x:v>
      </x:c>
      <x:c r="G68" s="24" t="n">
        <x:v>16</x:v>
      </x:c>
      <x:c r="H68" s="24" t="n">
        <x:v>0</x:v>
      </x:c>
      <x:c r="I68" s="24" t="n">
        <x:v>0.96</x:v>
      </x:c>
      <x:c r="J68" s="24" t="n">
        <x:v>6.95</x:v>
      </x:c>
      <x:c r="K68" s="24" t="n">
        <x:v>0</x:v>
      </x:c>
      <x:c r="L68" s="24" t="n">
        <x:v>0.99</x:v>
      </x:c>
      <x:c r="M68" s="24" t="n">
        <x:v>22.92</x:v>
      </x:c>
      <x:c r="N68" s="24" t="n">
        <x:v>22.92</x:v>
      </x:c>
      <x:c r="O68" t="str">
        <x:v>Paid</x:v>
      </x:c>
      <x:c r="P68" t="str">
        <x:v>Delivered</x:v>
      </x:c>
      <x:c r="Q68" t="str">
        <x:f>IF(COUNTIF($A$2:$A$241,A68)&gt;1,"DUPLICATE","")</x:f>
      </x:c>
      <x:c r="R68" t="str">
        <x:f>IF(OR(A68="",B68="",C68="",D68="",E68=""),"MISSING","")</x:f>
      </x:c>
      <x:c r="S68" t="str">
        <x:f>IF(COUNTIF('Product Master'!$A$2:$A$9,D68)=0,"INVALID SKU","")</x:f>
      </x:c>
      <x:c r="T68" s="24" t="n">
        <x:f>N68-M68</x:f>
        <x:v>0</x:v>
      </x:c>
      <x:c r="U68" t="str">
        <x:f>IF(AND(K68&gt;0,O68="Paid"),"REFUND STATUS","")</x:f>
      </x:c>
      <x:c r="V68" t="n">
        <x:f>IF(Q68&lt;&gt;"",1,0)+IF(R68&lt;&gt;"",1,0)+IF(S68&lt;&gt;"",1,0)+IF(ABS(T68)&gt;0.01,1,0)+IF(U68&lt;&gt;"",1,0)</x:f>
        <x:v>0</x:v>
      </x:c>
      <x:c r="W68" t="str">
        <x:f>IF(V68=0,"PASS","REVIEW")</x:f>
        <x:v>PASS</x:v>
      </x:c>
    </x:row>
    <x:row r="69">
      <x:c r="A69" t="str">
        <x:v>ORD-5068</x:v>
      </x:c>
      <x:c r="B69" s="26" t="n">
        <x:v>46180</x:v>
      </x:c>
      <x:c r="C69" t="str">
        <x:v>C-1000</x:v>
      </x:c>
      <x:c r="D69" t="str">
        <x:v>SKU-104</x:v>
      </x:c>
      <x:c r="E69" t="n">
        <x:v>2</x:v>
      </x:c>
      <x:c r="F69" s="24" t="n">
        <x:v>58</x:v>
      </x:c>
      <x:c r="G69" s="24" t="n">
        <x:v>116</x:v>
      </x:c>
      <x:c r="H69" s="24" t="n">
        <x:v>0</x:v>
      </x:c>
      <x:c r="I69" s="24" t="n">
        <x:v>6.96</x:v>
      </x:c>
      <x:c r="J69" s="24" t="n">
        <x:v>0</x:v>
      </x:c>
      <x:c r="K69" s="24" t="n">
        <x:v>0</x:v>
      </x:c>
      <x:c r="L69" s="24" t="n">
        <x:v>3.87</x:v>
      </x:c>
      <x:c r="M69" s="24" t="n">
        <x:v>119.09</x:v>
      </x:c>
      <x:c r="N69" s="24" t="n">
        <x:v>119.09</x:v>
      </x:c>
      <x:c r="O69" t="str">
        <x:v>Paid</x:v>
      </x:c>
      <x:c r="P69" t="str">
        <x:v>Delivered</x:v>
      </x:c>
      <x:c r="Q69" t="str">
        <x:f>IF(COUNTIF($A$2:$A$241,A69)&gt;1,"DUPLICATE","")</x:f>
      </x:c>
      <x:c r="R69" t="str">
        <x:f>IF(OR(A69="",B69="",C69="",D69="",E69=""),"MISSING","")</x:f>
      </x:c>
      <x:c r="S69" t="str">
        <x:f>IF(COUNTIF('Product Master'!$A$2:$A$9,D69)=0,"INVALID SKU","")</x:f>
      </x:c>
      <x:c r="T69" s="24" t="n">
        <x:f>N69-M69</x:f>
        <x:v>0</x:v>
      </x:c>
      <x:c r="U69" t="str">
        <x:f>IF(AND(K69&gt;0,O69="Paid"),"REFUND STATUS","")</x:f>
      </x:c>
      <x:c r="V69" t="n">
        <x:f>IF(Q69&lt;&gt;"",1,0)+IF(R69&lt;&gt;"",1,0)+IF(S69&lt;&gt;"",1,0)+IF(ABS(T69)&gt;0.01,1,0)+IF(U69&lt;&gt;"",1,0)</x:f>
        <x:v>0</x:v>
      </x:c>
      <x:c r="W69" t="str">
        <x:f>IF(V69=0,"PASS","REVIEW")</x:f>
        <x:v>PASS</x:v>
      </x:c>
    </x:row>
    <x:row r="70">
      <x:c r="A70" t="str">
        <x:v>ORD-5069</x:v>
      </x:c>
      <x:c r="B70" s="26" t="n">
        <x:v>46181</x:v>
      </x:c>
      <x:c r="C70" t="str">
        <x:v>C-1001</x:v>
      </x:c>
      <x:c r="D70" t="str">
        <x:v>SKU-105</x:v>
      </x:c>
      <x:c r="E70" t="n">
        <x:v>3</x:v>
      </x:c>
      <x:c r="F70" s="24" t="n">
        <x:v>32</x:v>
      </x:c>
      <x:c r="G70" s="24" t="n">
        <x:v>96</x:v>
      </x:c>
      <x:c r="H70" s="24" t="n">
        <x:v>0</x:v>
      </x:c>
      <x:c r="I70" s="24" t="n">
        <x:v>5.76</x:v>
      </x:c>
      <x:c r="J70" s="24" t="n">
        <x:v>0</x:v>
      </x:c>
      <x:c r="K70" s="24" t="n">
        <x:v>0</x:v>
      </x:c>
      <x:c r="L70" s="24" t="n">
        <x:v>3.25</x:v>
      </x:c>
      <x:c r="M70" s="24" t="n">
        <x:v>98.51</x:v>
      </x:c>
      <x:c r="N70" s="24" t="n">
        <x:v>98.51</x:v>
      </x:c>
      <x:c r="O70" t="str">
        <x:v>Paid</x:v>
      </x:c>
      <x:c r="P70" t="str">
        <x:v>Delivered</x:v>
      </x:c>
      <x:c r="Q70" t="str">
        <x:f>IF(COUNTIF($A$2:$A$241,A70)&gt;1,"DUPLICATE","")</x:f>
      </x:c>
      <x:c r="R70" t="str">
        <x:f>IF(OR(A70="",B70="",C70="",D70="",E70=""),"MISSING","")</x:f>
      </x:c>
      <x:c r="S70" t="str">
        <x:f>IF(COUNTIF('Product Master'!$A$2:$A$9,D70)=0,"INVALID SKU","")</x:f>
      </x:c>
      <x:c r="T70" s="24" t="n">
        <x:f>N70-M70</x:f>
        <x:v>0</x:v>
      </x:c>
      <x:c r="U70" t="str">
        <x:f>IF(AND(K70&gt;0,O70="Paid"),"REFUND STATUS","")</x:f>
      </x:c>
      <x:c r="V70" t="n">
        <x:f>IF(Q70&lt;&gt;"",1,0)+IF(R70&lt;&gt;"",1,0)+IF(S70&lt;&gt;"",1,0)+IF(ABS(T70)&gt;0.01,1,0)+IF(U70&lt;&gt;"",1,0)</x:f>
        <x:v>0</x:v>
      </x:c>
      <x:c r="W70" t="str">
        <x:f>IF(V70=0,"PASS","REVIEW")</x:f>
        <x:v>PASS</x:v>
      </x:c>
    </x:row>
    <x:row r="71">
      <x:c r="A71" t="str">
        <x:v>ORD-5070</x:v>
      </x:c>
      <x:c r="B71" s="26" t="n">
        <x:v>46182</x:v>
      </x:c>
      <x:c r="C71" t="str">
        <x:v>C-1002</x:v>
      </x:c>
      <x:c r="D71" t="str">
        <x:v>SKU-106</x:v>
      </x:c>
      <x:c r="E71" t="n">
        <x:v>1</x:v>
      </x:c>
      <x:c r="F71" s="24" t="n">
        <x:v>36</x:v>
      </x:c>
      <x:c r="G71" s="24" t="n">
        <x:v>36</x:v>
      </x:c>
      <x:c r="H71" s="24" t="n">
        <x:v>0</x:v>
      </x:c>
      <x:c r="I71" s="24" t="n">
        <x:v>2.16</x:v>
      </x:c>
      <x:c r="J71" s="24" t="n">
        <x:v>6.95</x:v>
      </x:c>
      <x:c r="K71" s="24" t="n">
        <x:v>0</x:v>
      </x:c>
      <x:c r="L71" s="24" t="n">
        <x:v>1.61</x:v>
      </x:c>
      <x:c r="M71" s="24" t="n">
        <x:v>43.5</x:v>
      </x:c>
      <x:c r="N71" s="24" t="n">
        <x:v>43.5</x:v>
      </x:c>
      <x:c r="O71" t="str">
        <x:v>Paid</x:v>
      </x:c>
      <x:c r="P71" t="str">
        <x:v>Delivered</x:v>
      </x:c>
      <x:c r="Q71" t="str">
        <x:f>IF(COUNTIF($A$2:$A$241,A71)&gt;1,"DUPLICATE","")</x:f>
      </x:c>
      <x:c r="R71" t="str">
        <x:f>IF(OR(A71="",B71="",C71="",D71="",E71=""),"MISSING","")</x:f>
      </x:c>
      <x:c r="S71" t="str">
        <x:f>IF(COUNTIF('Product Master'!$A$2:$A$9,D71)=0,"INVALID SKU","")</x:f>
      </x:c>
      <x:c r="T71" s="24" t="n">
        <x:f>N71-M71</x:f>
        <x:v>0</x:v>
      </x:c>
      <x:c r="U71" t="str">
        <x:f>IF(AND(K71&gt;0,O71="Paid"),"REFUND STATUS","")</x:f>
      </x:c>
      <x:c r="V71" t="n">
        <x:f>IF(Q71&lt;&gt;"",1,0)+IF(R71&lt;&gt;"",1,0)+IF(S71&lt;&gt;"",1,0)+IF(ABS(T71)&gt;0.01,1,0)+IF(U71&lt;&gt;"",1,0)</x:f>
        <x:v>0</x:v>
      </x:c>
      <x:c r="W71" t="str">
        <x:f>IF(V71=0,"PASS","REVIEW")</x:f>
        <x:v>PASS</x:v>
      </x:c>
    </x:row>
    <x:row r="72">
      <x:c r="A72" t="str">
        <x:v>ORD-5071</x:v>
      </x:c>
      <x:c r="B72" s="26" t="n">
        <x:v>46183</x:v>
      </x:c>
      <x:c r="C72" t="str">
        <x:v>C-1003</x:v>
      </x:c>
      <x:c r="D72" t="str">
        <x:v>SKU-107</x:v>
      </x:c>
      <x:c r="E72" t="n">
        <x:v>2</x:v>
      </x:c>
      <x:c r="F72" s="24" t="n">
        <x:v>9</x:v>
      </x:c>
      <x:c r="G72" s="24" t="n">
        <x:v>18</x:v>
      </x:c>
      <x:c r="H72" s="24" t="n">
        <x:v>0</x:v>
      </x:c>
      <x:c r="I72" s="24" t="n">
        <x:v>1.08</x:v>
      </x:c>
      <x:c r="J72" s="24" t="n">
        <x:v>6.95</x:v>
      </x:c>
      <x:c r="K72" s="24" t="n">
        <x:v>0</x:v>
      </x:c>
      <x:c r="L72" s="24" t="n">
        <x:v>1.05</x:v>
      </x:c>
      <x:c r="M72" s="24" t="n">
        <x:v>24.98</x:v>
      </x:c>
      <x:c r="N72" s="24" t="n">
        <x:v>24.98</x:v>
      </x:c>
      <x:c r="O72" t="str">
        <x:v>Paid</x:v>
      </x:c>
      <x:c r="P72" t="str">
        <x:v>Delivered</x:v>
      </x:c>
      <x:c r="Q72" t="str">
        <x:f>IF(COUNTIF($A$2:$A$241,A72)&gt;1,"DUPLICATE","")</x:f>
      </x:c>
      <x:c r="R72" t="str">
        <x:f>IF(OR(A72="",B72="",C72="",D72="",E72=""),"MISSING","")</x:f>
      </x:c>
      <x:c r="S72" t="str">
        <x:f>IF(COUNTIF('Product Master'!$A$2:$A$9,D72)=0,"INVALID SKU","")</x:f>
      </x:c>
      <x:c r="T72" s="24" t="n">
        <x:f>N72-M72</x:f>
        <x:v>0</x:v>
      </x:c>
      <x:c r="U72" t="str">
        <x:f>IF(AND(K72&gt;0,O72="Paid"),"REFUND STATUS","")</x:f>
      </x:c>
      <x:c r="V72" t="n">
        <x:f>IF(Q72&lt;&gt;"",1,0)+IF(R72&lt;&gt;"",1,0)+IF(S72&lt;&gt;"",1,0)+IF(ABS(T72)&gt;0.01,1,0)+IF(U72&lt;&gt;"",1,0)</x:f>
        <x:v>0</x:v>
      </x:c>
      <x:c r="W72" t="str">
        <x:f>IF(V72=0,"PASS","REVIEW")</x:f>
        <x:v>PASS</x:v>
      </x:c>
    </x:row>
    <x:row r="73">
      <x:c r="A73" t="str">
        <x:v>ORD-5072</x:v>
      </x:c>
      <x:c r="B73" s="26" t="n">
        <x:v>46184</x:v>
      </x:c>
      <x:c r="C73" t="str">
        <x:v>C-1004</x:v>
      </x:c>
      <x:c r="D73" t="str">
        <x:v>SKU-108</x:v>
      </x:c>
      <x:c r="E73" t="n">
        <x:v>3</x:v>
      </x:c>
      <x:c r="F73" s="24" t="n">
        <x:v>42</x:v>
      </x:c>
      <x:c r="G73" s="24" t="n">
        <x:v>126</x:v>
      </x:c>
      <x:c r="H73" s="24" t="n">
        <x:v>0</x:v>
      </x:c>
      <x:c r="I73" s="24" t="n">
        <x:v>7.56</x:v>
      </x:c>
      <x:c r="J73" s="24" t="n">
        <x:v>0</x:v>
      </x:c>
      <x:c r="K73" s="24" t="n">
        <x:v>0</x:v>
      </x:c>
      <x:c r="L73" s="24" t="n">
        <x:v>4.17</x:v>
      </x:c>
      <x:c r="M73" s="24" t="n">
        <x:v>129.39</x:v>
      </x:c>
      <x:c r="N73" s="24" t="n">
        <x:v>129.39</x:v>
      </x:c>
      <x:c r="O73" t="str">
        <x:v>Paid</x:v>
      </x:c>
      <x:c r="P73" t="str">
        <x:v>Delivered</x:v>
      </x:c>
      <x:c r="Q73" t="str">
        <x:f>IF(COUNTIF($A$2:$A$241,A73)&gt;1,"DUPLICATE","")</x:f>
      </x:c>
      <x:c r="R73" t="str">
        <x:f>IF(OR(A73="",B73="",C73="",D73="",E73=""),"MISSING","")</x:f>
      </x:c>
      <x:c r="S73" t="str">
        <x:f>IF(COUNTIF('Product Master'!$A$2:$A$9,D73)=0,"INVALID SKU","")</x:f>
      </x:c>
      <x:c r="T73" s="24" t="n">
        <x:f>N73-M73</x:f>
        <x:v>0</x:v>
      </x:c>
      <x:c r="U73" t="str">
        <x:f>IF(AND(K73&gt;0,O73="Paid"),"REFUND STATUS","")</x:f>
      </x:c>
      <x:c r="V73" t="n">
        <x:f>IF(Q73&lt;&gt;"",1,0)+IF(R73&lt;&gt;"",1,0)+IF(S73&lt;&gt;"",1,0)+IF(ABS(T73)&gt;0.01,1,0)+IF(U73&lt;&gt;"",1,0)</x:f>
        <x:v>0</x:v>
      </x:c>
      <x:c r="W73" t="str">
        <x:f>IF(V73=0,"PASS","REVIEW")</x:f>
        <x:v>PASS</x:v>
      </x:c>
    </x:row>
    <x:row r="74">
      <x:c r="A74" t="str">
        <x:v>ORD-5073</x:v>
      </x:c>
      <x:c r="B74" s="26" t="n">
        <x:v>46185</x:v>
      </x:c>
      <x:c r="C74" t="str">
        <x:v>C-1005</x:v>
      </x:c>
      <x:c r="D74" t="str">
        <x:v>SKU-101</x:v>
      </x:c>
      <x:c r="E74" t="n">
        <x:v>1</x:v>
      </x:c>
      <x:c r="F74" s="24" t="n">
        <x:v>24</x:v>
      </x:c>
      <x:c r="G74" s="24" t="n">
        <x:v>24</x:v>
      </x:c>
      <x:c r="H74" s="24" t="n">
        <x:v>2.4</x:v>
      </x:c>
      <x:c r="I74" s="24" t="n">
        <x:v>1.3</x:v>
      </x:c>
      <x:c r="J74" s="24" t="n">
        <x:v>6.95</x:v>
      </x:c>
      <x:c r="K74" s="24" t="n">
        <x:v>0</x:v>
      </x:c>
      <x:c r="L74" s="24" t="n">
        <x:v>1.17</x:v>
      </x:c>
      <x:c r="M74" s="24" t="n">
        <x:v>28.68</x:v>
      </x:c>
      <x:c r="N74" s="24" t="n">
        <x:v>28.68</x:v>
      </x:c>
      <x:c r="O74" t="str">
        <x:v>Paid</x:v>
      </x:c>
      <x:c r="P74" t="str">
        <x:v>Delivered</x:v>
      </x:c>
      <x:c r="Q74" t="str">
        <x:f>IF(COUNTIF($A$2:$A$241,A74)&gt;1,"DUPLICATE","")</x:f>
      </x:c>
      <x:c r="R74" t="str">
        <x:f>IF(OR(A74="",B74="",C74="",D74="",E74=""),"MISSING","")</x:f>
      </x:c>
      <x:c r="S74" t="str">
        <x:f>IF(COUNTIF('Product Master'!$A$2:$A$9,D74)=0,"INVALID SKU","")</x:f>
      </x:c>
      <x:c r="T74" s="24" t="n">
        <x:f>N74-M74</x:f>
        <x:v>0</x:v>
      </x:c>
      <x:c r="U74" t="str">
        <x:f>IF(AND(K74&gt;0,O74="Paid"),"REFUND STATUS","")</x:f>
      </x:c>
      <x:c r="V74" t="n">
        <x:f>IF(Q74&lt;&gt;"",1,0)+IF(R74&lt;&gt;"",1,0)+IF(S74&lt;&gt;"",1,0)+IF(ABS(T74)&gt;0.01,1,0)+IF(U74&lt;&gt;"",1,0)</x:f>
        <x:v>0</x:v>
      </x:c>
      <x:c r="W74" t="str">
        <x:f>IF(V74=0,"PASS","REVIEW")</x:f>
        <x:v>PASS</x:v>
      </x:c>
    </x:row>
    <x:row r="75">
      <x:c r="A75" t="str">
        <x:v>ORD-5074</x:v>
      </x:c>
      <x:c r="B75" s="26" t="n">
        <x:v>46186</x:v>
      </x:c>
      <x:c r="C75" t="str">
        <x:v>C-1006</x:v>
      </x:c>
      <x:c r="D75" t="str">
        <x:v>SKU-102</x:v>
      </x:c>
      <x:c r="E75" t="n">
        <x:v>2</x:v>
      </x:c>
      <x:c r="F75" s="24" t="n">
        <x:v>28</x:v>
      </x:c>
      <x:c r="G75" s="24" t="n">
        <x:v>56</x:v>
      </x:c>
      <x:c r="H75" s="24" t="n">
        <x:v>0</x:v>
      </x:c>
      <x:c r="I75" s="24" t="n">
        <x:v>3.36</x:v>
      </x:c>
      <x:c r="J75" s="24" t="n">
        <x:v>6.95</x:v>
      </x:c>
      <x:c r="K75" s="24" t="n">
        <x:v>0</x:v>
      </x:c>
      <x:c r="L75" s="24" t="n">
        <x:v>2.22</x:v>
      </x:c>
      <x:c r="M75" s="24" t="n">
        <x:v>64.09</x:v>
      </x:c>
      <x:c r="N75" s="24" t="n">
        <x:v>64.09</x:v>
      </x:c>
      <x:c r="O75" t="str">
        <x:v>Paid</x:v>
      </x:c>
      <x:c r="P75" t="str">
        <x:v>Delivered</x:v>
      </x:c>
      <x:c r="Q75" t="str">
        <x:f>IF(COUNTIF($A$2:$A$241,A75)&gt;1,"DUPLICATE","")</x:f>
      </x:c>
      <x:c r="R75" t="str">
        <x:f>IF(OR(A75="",B75="",C75="",D75="",E75=""),"MISSING","")</x:f>
      </x:c>
      <x:c r="S75" t="str">
        <x:f>IF(COUNTIF('Product Master'!$A$2:$A$9,D75)=0,"INVALID SKU","")</x:f>
      </x:c>
      <x:c r="T75" s="24" t="n">
        <x:f>N75-M75</x:f>
        <x:v>0</x:v>
      </x:c>
      <x:c r="U75" t="str">
        <x:f>IF(AND(K75&gt;0,O75="Paid"),"REFUND STATUS","")</x:f>
      </x:c>
      <x:c r="V75" t="n">
        <x:f>IF(Q75&lt;&gt;"",1,0)+IF(R75&lt;&gt;"",1,0)+IF(S75&lt;&gt;"",1,0)+IF(ABS(T75)&gt;0.01,1,0)+IF(U75&lt;&gt;"",1,0)</x:f>
        <x:v>0</x:v>
      </x:c>
      <x:c r="W75" t="str">
        <x:f>IF(V75=0,"PASS","REVIEW")</x:f>
        <x:v>PASS</x:v>
      </x:c>
    </x:row>
    <x:row r="76">
      <x:c r="A76" t="str">
        <x:v>ORD-5075</x:v>
      </x:c>
      <x:c r="B76" s="26" t="n">
        <x:v>46187</x:v>
      </x:c>
      <x:c r="C76" t="str">
        <x:v>C-1007</x:v>
      </x:c>
      <x:c r="D76" t="str">
        <x:v>SKU-103</x:v>
      </x:c>
      <x:c r="E76" t="n">
        <x:v>3</x:v>
      </x:c>
      <x:c r="F76" s="24" t="n">
        <x:v>16</x:v>
      </x:c>
      <x:c r="G76" s="24" t="n">
        <x:v>48</x:v>
      </x:c>
      <x:c r="H76" s="24" t="n">
        <x:v>0</x:v>
      </x:c>
      <x:c r="I76" s="24" t="n">
        <x:v>2.88</x:v>
      </x:c>
      <x:c r="J76" s="24" t="n">
        <x:v>6.95</x:v>
      </x:c>
      <x:c r="K76" s="24" t="n">
        <x:v>0</x:v>
      </x:c>
      <x:c r="L76" s="24" t="n">
        <x:v>1.98</x:v>
      </x:c>
      <x:c r="M76" s="24" t="n">
        <x:v>55.85</x:v>
      </x:c>
      <x:c r="N76" s="24" t="n">
        <x:v>55.85</x:v>
      </x:c>
      <x:c r="O76" t="str">
        <x:v>Paid</x:v>
      </x:c>
      <x:c r="P76" t="str">
        <x:v>Delivered</x:v>
      </x:c>
      <x:c r="Q76" t="str">
        <x:f>IF(COUNTIF($A$2:$A$241,A76)&gt;1,"DUPLICATE","")</x:f>
      </x:c>
      <x:c r="R76" t="str">
        <x:f>IF(OR(A76="",B76="",C76="",D76="",E76=""),"MISSING","")</x:f>
      </x:c>
      <x:c r="S76" t="str">
        <x:f>IF(COUNTIF('Product Master'!$A$2:$A$9,D76)=0,"INVALID SKU","")</x:f>
      </x:c>
      <x:c r="T76" s="24" t="n">
        <x:f>N76-M76</x:f>
        <x:v>0</x:v>
      </x:c>
      <x:c r="U76" t="str">
        <x:f>IF(AND(K76&gt;0,O76="Paid"),"REFUND STATUS","")</x:f>
      </x:c>
      <x:c r="V76" t="n">
        <x:f>IF(Q76&lt;&gt;"",1,0)+IF(R76&lt;&gt;"",1,0)+IF(S76&lt;&gt;"",1,0)+IF(ABS(T76)&gt;0.01,1,0)+IF(U76&lt;&gt;"",1,0)</x:f>
        <x:v>0</x:v>
      </x:c>
      <x:c r="W76" t="str">
        <x:f>IF(V76=0,"PASS","REVIEW")</x:f>
        <x:v>PASS</x:v>
      </x:c>
    </x:row>
    <x:row r="77">
      <x:c r="A77" t="str">
        <x:v>ORD-5076</x:v>
      </x:c>
      <x:c r="B77" s="26" t="n">
        <x:v>46188</x:v>
      </x:c>
      <x:c r="C77" t="str">
        <x:v>C-1008</x:v>
      </x:c>
      <x:c r="D77" t="str">
        <x:v>SKU-104</x:v>
      </x:c>
      <x:c r="E77" t="n">
        <x:v>1</x:v>
      </x:c>
      <x:c r="F77" s="24" t="n">
        <x:v>58</x:v>
      </x:c>
      <x:c r="G77" s="24" t="n">
        <x:v>58</x:v>
      </x:c>
      <x:c r="H77" s="24" t="n">
        <x:v>0</x:v>
      </x:c>
      <x:c r="I77" s="24" t="n">
        <x:v>3.48</x:v>
      </x:c>
      <x:c r="J77" s="24" t="n">
        <x:v>6.95</x:v>
      </x:c>
      <x:c r="K77" s="24" t="n">
        <x:v>0</x:v>
      </x:c>
      <x:c r="L77" s="24" t="n">
        <x:v>2.28</x:v>
      </x:c>
      <x:c r="M77" s="24" t="n">
        <x:v>66.15</x:v>
      </x:c>
      <x:c r="N77" s="24" t="n">
        <x:v>66.15</x:v>
      </x:c>
      <x:c r="O77" t="str">
        <x:v>Paid</x:v>
      </x:c>
      <x:c r="P77" t="str">
        <x:v>Delivered</x:v>
      </x:c>
      <x:c r="Q77" t="str">
        <x:f>IF(COUNTIF($A$2:$A$241,A77)&gt;1,"DUPLICATE","")</x:f>
      </x:c>
      <x:c r="R77" t="str">
        <x:f>IF(OR(A77="",B77="",C77="",D77="",E77=""),"MISSING","")</x:f>
      </x:c>
      <x:c r="S77" t="str">
        <x:f>IF(COUNTIF('Product Master'!$A$2:$A$9,D77)=0,"INVALID SKU","")</x:f>
      </x:c>
      <x:c r="T77" s="24" t="n">
        <x:f>N77-M77</x:f>
        <x:v>0</x:v>
      </x:c>
      <x:c r="U77" t="str">
        <x:f>IF(AND(K77&gt;0,O77="Paid"),"REFUND STATUS","")</x:f>
      </x:c>
      <x:c r="V77" t="n">
        <x:f>IF(Q77&lt;&gt;"",1,0)+IF(R77&lt;&gt;"",1,0)+IF(S77&lt;&gt;"",1,0)+IF(ABS(T77)&gt;0.01,1,0)+IF(U77&lt;&gt;"",1,0)</x:f>
        <x:v>0</x:v>
      </x:c>
      <x:c r="W77" t="str">
        <x:f>IF(V77=0,"PASS","REVIEW")</x:f>
        <x:v>PASS</x:v>
      </x:c>
    </x:row>
    <x:row r="78">
      <x:c r="A78" t="str">
        <x:v>ORD-5077</x:v>
      </x:c>
      <x:c r="B78" s="26" t="n">
        <x:v>46189</x:v>
      </x:c>
      <x:c r="C78" t="str">
        <x:v>C-1009</x:v>
      </x:c>
      <x:c r="D78" t="str">
        <x:v>SKU-105</x:v>
      </x:c>
      <x:c r="E78" t="n">
        <x:v>2</x:v>
      </x:c>
      <x:c r="F78" s="24" t="n">
        <x:v>32</x:v>
      </x:c>
      <x:c r="G78" s="24" t="n">
        <x:v>64</x:v>
      </x:c>
      <x:c r="H78" s="24" t="n">
        <x:v>0</x:v>
      </x:c>
      <x:c r="I78" s="24" t="n">
        <x:v>3.84</x:v>
      </x:c>
      <x:c r="J78" s="24" t="n">
        <x:v>0</x:v>
      </x:c>
      <x:c r="K78" s="24" t="n">
        <x:v>0</x:v>
      </x:c>
      <x:c r="L78" s="24" t="n">
        <x:v>2.27</x:v>
      </x:c>
      <x:c r="M78" s="24" t="n">
        <x:v>65.57</x:v>
      </x:c>
      <x:c r="N78" s="24" t="n">
        <x:v>65.57</x:v>
      </x:c>
      <x:c r="O78" t="str">
        <x:v>Paid</x:v>
      </x:c>
      <x:c r="P78" t="str">
        <x:v>Delivered</x:v>
      </x:c>
      <x:c r="Q78" t="str">
        <x:f>IF(COUNTIF($A$2:$A$241,A78)&gt;1,"DUPLICATE","")</x:f>
      </x:c>
      <x:c r="R78" t="str">
        <x:f>IF(OR(A78="",B78="",C78="",D78="",E78=""),"MISSING","")</x:f>
      </x:c>
      <x:c r="S78" t="str">
        <x:f>IF(COUNTIF('Product Master'!$A$2:$A$9,D78)=0,"INVALID SKU","")</x:f>
      </x:c>
      <x:c r="T78" s="24" t="n">
        <x:f>N78-M78</x:f>
        <x:v>0</x:v>
      </x:c>
      <x:c r="U78" t="str">
        <x:f>IF(AND(K78&gt;0,O78="Paid"),"REFUND STATUS","")</x:f>
      </x:c>
      <x:c r="V78" t="n">
        <x:f>IF(Q78&lt;&gt;"",1,0)+IF(R78&lt;&gt;"",1,0)+IF(S78&lt;&gt;"",1,0)+IF(ABS(T78)&gt;0.01,1,0)+IF(U78&lt;&gt;"",1,0)</x:f>
        <x:v>0</x:v>
      </x:c>
      <x:c r="W78" t="str">
        <x:f>IF(V78=0,"PASS","REVIEW")</x:f>
        <x:v>PASS</x:v>
      </x:c>
    </x:row>
    <x:row r="79">
      <x:c r="A79" t="str">
        <x:v>ORD-5078</x:v>
      </x:c>
      <x:c r="B79" s="26" t="n">
        <x:v>46190</x:v>
      </x:c>
      <x:c r="C79" t="str">
        <x:v>C-1010</x:v>
      </x:c>
      <x:c r="D79" t="str">
        <x:v>SKU-106</x:v>
      </x:c>
      <x:c r="E79" t="n">
        <x:v>3</x:v>
      </x:c>
      <x:c r="F79" s="24" t="n">
        <x:v>36</x:v>
      </x:c>
      <x:c r="G79" s="24" t="n">
        <x:v>108</x:v>
      </x:c>
      <x:c r="H79" s="24" t="n">
        <x:v>0</x:v>
      </x:c>
      <x:c r="I79" s="24" t="n">
        <x:v>6.48</x:v>
      </x:c>
      <x:c r="J79" s="24" t="n">
        <x:v>0</x:v>
      </x:c>
      <x:c r="K79" s="24" t="n">
        <x:v>0</x:v>
      </x:c>
      <x:c r="L79" s="24" t="n">
        <x:v>3.62</x:v>
      </x:c>
      <x:c r="M79" s="24" t="n">
        <x:v>110.86</x:v>
      </x:c>
      <x:c r="N79" s="24" t="n">
        <x:v>110.86</x:v>
      </x:c>
      <x:c r="O79" t="str">
        <x:v>Paid</x:v>
      </x:c>
      <x:c r="P79" t="str">
        <x:v>Delivered</x:v>
      </x:c>
      <x:c r="Q79" t="str">
        <x:f>IF(COUNTIF($A$2:$A$241,A79)&gt;1,"DUPLICATE","")</x:f>
      </x:c>
      <x:c r="R79" t="str">
        <x:f>IF(OR(A79="",B79="",C79="",D79="",E79=""),"MISSING","")</x:f>
      </x:c>
      <x:c r="S79" t="str">
        <x:f>IF(COUNTIF('Product Master'!$A$2:$A$9,D79)=0,"INVALID SKU","")</x:f>
      </x:c>
      <x:c r="T79" s="24" t="n">
        <x:f>N79-M79</x:f>
        <x:v>0</x:v>
      </x:c>
      <x:c r="U79" t="str">
        <x:f>IF(AND(K79&gt;0,O79="Paid"),"REFUND STATUS","")</x:f>
      </x:c>
      <x:c r="V79" t="n">
        <x:f>IF(Q79&lt;&gt;"",1,0)+IF(R79&lt;&gt;"",1,0)+IF(S79&lt;&gt;"",1,0)+IF(ABS(T79)&gt;0.01,1,0)+IF(U79&lt;&gt;"",1,0)</x:f>
        <x:v>0</x:v>
      </x:c>
      <x:c r="W79" t="str">
        <x:f>IF(V79=0,"PASS","REVIEW")</x:f>
        <x:v>PASS</x:v>
      </x:c>
    </x:row>
    <x:row r="80">
      <x:c r="A80" t="str">
        <x:v>ORD-5041</x:v>
      </x:c>
      <x:c r="B80" s="26" t="n">
        <x:v>46191</x:v>
      </x:c>
      <x:c r="C80" t="str">
        <x:v>C-1011</x:v>
      </x:c>
      <x:c r="D80" t="str">
        <x:v>SKU-107</x:v>
      </x:c>
      <x:c r="E80" t="n">
        <x:v>1</x:v>
      </x:c>
      <x:c r="F80" s="24" t="n">
        <x:v>9</x:v>
      </x:c>
      <x:c r="G80" s="24" t="n">
        <x:v>9</x:v>
      </x:c>
      <x:c r="H80" s="24" t="n">
        <x:v>0</x:v>
      </x:c>
      <x:c r="I80" s="24" t="n">
        <x:v>0.54</x:v>
      </x:c>
      <x:c r="J80" s="24" t="n">
        <x:v>6.95</x:v>
      </x:c>
      <x:c r="K80" s="24" t="n">
        <x:v>0</x:v>
      </x:c>
      <x:c r="L80" s="24" t="n">
        <x:v>0.78</x:v>
      </x:c>
      <x:c r="M80" s="24" t="n">
        <x:v>15.71</x:v>
      </x:c>
      <x:c r="N80" s="24" t="n">
        <x:v>15.71</x:v>
      </x:c>
      <x:c r="O80" t="str">
        <x:v>Paid</x:v>
      </x:c>
      <x:c r="P80" t="str">
        <x:v>Delivered</x:v>
      </x:c>
      <x:c r="Q80" t="str">
        <x:f>IF(COUNTIF($A$2:$A$241,A80)&gt;1,"DUPLICATE","")</x:f>
        <x:v>DUPLICATE</x:v>
      </x:c>
      <x:c r="R80" t="str">
        <x:f>IF(OR(A80="",B80="",C80="",D80="",E80=""),"MISSING","")</x:f>
      </x:c>
      <x:c r="S80" t="str">
        <x:f>IF(COUNTIF('Product Master'!$A$2:$A$9,D80)=0,"INVALID SKU","")</x:f>
      </x:c>
      <x:c r="T80" s="24" t="n">
        <x:f>N80-M80</x:f>
        <x:v>0</x:v>
      </x:c>
      <x:c r="U80" t="str">
        <x:f>IF(AND(K80&gt;0,O80="Paid"),"REFUND STATUS","")</x:f>
      </x:c>
      <x:c r="V80" t="n">
        <x:f>IF(Q80&lt;&gt;"",1,0)+IF(R80&lt;&gt;"",1,0)+IF(S80&lt;&gt;"",1,0)+IF(ABS(T80)&gt;0.01,1,0)+IF(U80&lt;&gt;"",1,0)</x:f>
        <x:v>1</x:v>
      </x:c>
      <x:c r="W80" t="str">
        <x:f>IF(V80=0,"PASS","REVIEW")</x:f>
        <x:v>REVIEW</x:v>
      </x:c>
    </x:row>
    <x:row r="81">
      <x:c r="A81" t="str">
        <x:v>ORD-5080</x:v>
      </x:c>
      <x:c r="B81" s="26" t="n">
        <x:v>46192</x:v>
      </x:c>
      <x:c r="C81" t="str">
        <x:v>C-1012</x:v>
      </x:c>
      <x:c r="D81" t="str">
        <x:v>SKU-108</x:v>
      </x:c>
      <x:c r="E81" t="n">
        <x:v>2</x:v>
      </x:c>
      <x:c r="F81" s="24" t="n">
        <x:v>42</x:v>
      </x:c>
      <x:c r="G81" s="24" t="n">
        <x:v>84</x:v>
      </x:c>
      <x:c r="H81" s="24" t="n">
        <x:v>0</x:v>
      </x:c>
      <x:c r="I81" s="24" t="n">
        <x:v>5.04</x:v>
      </x:c>
      <x:c r="J81" s="24" t="n">
        <x:v>0</x:v>
      </x:c>
      <x:c r="K81" s="24" t="n">
        <x:v>0</x:v>
      </x:c>
      <x:c r="L81" s="24" t="n">
        <x:v>2.88</x:v>
      </x:c>
      <x:c r="M81" s="24" t="n">
        <x:v>86.16</x:v>
      </x:c>
      <x:c r="N81" s="24" t="n">
        <x:v>86.16</x:v>
      </x:c>
      <x:c r="O81" t="str">
        <x:v>Paid</x:v>
      </x:c>
      <x:c r="P81" t="str">
        <x:v>Delivered</x:v>
      </x:c>
      <x:c r="Q81" t="str">
        <x:f>IF(COUNTIF($A$2:$A$241,A81)&gt;1,"DUPLICATE","")</x:f>
      </x:c>
      <x:c r="R81" t="str">
        <x:f>IF(OR(A81="",B81="",C81="",D81="",E81=""),"MISSING","")</x:f>
      </x:c>
      <x:c r="S81" t="str">
        <x:f>IF(COUNTIF('Product Master'!$A$2:$A$9,D81)=0,"INVALID SKU","")</x:f>
      </x:c>
      <x:c r="T81" s="24" t="n">
        <x:f>N81-M81</x:f>
        <x:v>0</x:v>
      </x:c>
      <x:c r="U81" t="str">
        <x:f>IF(AND(K81&gt;0,O81="Paid"),"REFUND STATUS","")</x:f>
      </x:c>
      <x:c r="V81" t="n">
        <x:f>IF(Q81&lt;&gt;"",1,0)+IF(R81&lt;&gt;"",1,0)+IF(S81&lt;&gt;"",1,0)+IF(ABS(T81)&gt;0.01,1,0)+IF(U81&lt;&gt;"",1,0)</x:f>
        <x:v>0</x:v>
      </x:c>
      <x:c r="W81" t="str">
        <x:f>IF(V81=0,"PASS","REVIEW")</x:f>
        <x:v>PASS</x:v>
      </x:c>
    </x:row>
    <x:row r="82">
      <x:c r="A82" t="str">
        <x:v>ORD-5081</x:v>
      </x:c>
      <x:c r="B82" s="26" t="n">
        <x:v>46193</x:v>
      </x:c>
      <x:c r="C82" t="str">
        <x:v>C-1013</x:v>
      </x:c>
      <x:c r="D82" t="str">
        <x:v>SKU-101</x:v>
      </x:c>
      <x:c r="E82" t="n">
        <x:v>3</x:v>
      </x:c>
      <x:c r="F82" s="24" t="n">
        <x:v>24</x:v>
      </x:c>
      <x:c r="G82" s="24" t="n">
        <x:v>72</x:v>
      </x:c>
      <x:c r="H82" s="24" t="n">
        <x:v>0</x:v>
      </x:c>
      <x:c r="I82" s="24" t="n">
        <x:v>4.32</x:v>
      </x:c>
      <x:c r="J82" s="24" t="n">
        <x:v>0</x:v>
      </x:c>
      <x:c r="K82" s="24" t="n">
        <x:v>0</x:v>
      </x:c>
      <x:c r="L82" s="24" t="n">
        <x:v>2.51</x:v>
      </x:c>
      <x:c r="M82" s="24" t="n">
        <x:v>73.81</x:v>
      </x:c>
      <x:c r="N82" s="24" t="n">
        <x:v>73.81</x:v>
      </x:c>
      <x:c r="O82" t="str">
        <x:v>Paid</x:v>
      </x:c>
      <x:c r="P82" t="str">
        <x:v>Delivered</x:v>
      </x:c>
      <x:c r="Q82" t="str">
        <x:f>IF(COUNTIF($A$2:$A$241,A82)&gt;1,"DUPLICATE","")</x:f>
      </x:c>
      <x:c r="R82" t="str">
        <x:f>IF(OR(A82="",B82="",C82="",D82="",E82=""),"MISSING","")</x:f>
      </x:c>
      <x:c r="S82" t="str">
        <x:f>IF(COUNTIF('Product Master'!$A$2:$A$9,D82)=0,"INVALID SKU","")</x:f>
      </x:c>
      <x:c r="T82" s="24" t="n">
        <x:f>N82-M82</x:f>
        <x:v>0</x:v>
      </x:c>
      <x:c r="U82" t="str">
        <x:f>IF(AND(K82&gt;0,O82="Paid"),"REFUND STATUS","")</x:f>
      </x:c>
      <x:c r="V82" t="n">
        <x:f>IF(Q82&lt;&gt;"",1,0)+IF(R82&lt;&gt;"",1,0)+IF(S82&lt;&gt;"",1,0)+IF(ABS(T82)&gt;0.01,1,0)+IF(U82&lt;&gt;"",1,0)</x:f>
        <x:v>0</x:v>
      </x:c>
      <x:c r="W82" t="str">
        <x:f>IF(V82=0,"PASS","REVIEW")</x:f>
        <x:v>PASS</x:v>
      </x:c>
    </x:row>
    <x:row r="83">
      <x:c r="A83" t="str">
        <x:v>ORD-5082</x:v>
      </x:c>
      <x:c r="B83" s="26" t="n">
        <x:v>46194</x:v>
      </x:c>
      <x:c r="C83" t="str">
        <x:v>C-1014</x:v>
      </x:c>
      <x:c r="D83" t="str">
        <x:v>SKU-102</x:v>
      </x:c>
      <x:c r="E83" t="n">
        <x:v>1</x:v>
      </x:c>
      <x:c r="F83" s="24" t="n">
        <x:v>28</x:v>
      </x:c>
      <x:c r="G83" s="24" t="n">
        <x:v>28</x:v>
      </x:c>
      <x:c r="H83" s="24" t="n">
        <x:v>2.8</x:v>
      </x:c>
      <x:c r="I83" s="24" t="n">
        <x:v>1.51</x:v>
      </x:c>
      <x:c r="J83" s="24" t="n">
        <x:v>6.95</x:v>
      </x:c>
      <x:c r="K83" s="24" t="n">
        <x:v>0</x:v>
      </x:c>
      <x:c r="L83" s="24" t="n">
        <x:v>1.28</x:v>
      </x:c>
      <x:c r="M83" s="24" t="n">
        <x:v>32.38</x:v>
      </x:c>
      <x:c r="N83" s="24" t="n">
        <x:v>32.38</x:v>
      </x:c>
      <x:c r="O83" t="str">
        <x:v>Paid</x:v>
      </x:c>
      <x:c r="P83" t="str">
        <x:v>Delivered</x:v>
      </x:c>
      <x:c r="Q83" t="str">
        <x:f>IF(COUNTIF($A$2:$A$241,A83)&gt;1,"DUPLICATE","")</x:f>
      </x:c>
      <x:c r="R83" t="str">
        <x:f>IF(OR(A83="",B83="",C83="",D83="",E83=""),"MISSING","")</x:f>
      </x:c>
      <x:c r="S83" t="str">
        <x:f>IF(COUNTIF('Product Master'!$A$2:$A$9,D83)=0,"INVALID SKU","")</x:f>
      </x:c>
      <x:c r="T83" s="24" t="n">
        <x:f>N83-M83</x:f>
        <x:v>0</x:v>
      </x:c>
      <x:c r="U83" t="str">
        <x:f>IF(AND(K83&gt;0,O83="Paid"),"REFUND STATUS","")</x:f>
      </x:c>
      <x:c r="V83" t="n">
        <x:f>IF(Q83&lt;&gt;"",1,0)+IF(R83&lt;&gt;"",1,0)+IF(S83&lt;&gt;"",1,0)+IF(ABS(T83)&gt;0.01,1,0)+IF(U83&lt;&gt;"",1,0)</x:f>
        <x:v>0</x:v>
      </x:c>
      <x:c r="W83" t="str">
        <x:f>IF(V83=0,"PASS","REVIEW")</x:f>
        <x:v>PASS</x:v>
      </x:c>
    </x:row>
    <x:row r="84">
      <x:c r="A84" t="str">
        <x:v>ORD-5083</x:v>
      </x:c>
      <x:c r="B84" s="26" t="n">
        <x:v>46195</x:v>
      </x:c>
      <x:c r="C84" t="str">
        <x:v>C-1015</x:v>
      </x:c>
      <x:c r="D84" t="str">
        <x:v>SKU-103</x:v>
      </x:c>
      <x:c r="E84" t="n">
        <x:v>2</x:v>
      </x:c>
      <x:c r="F84" s="24" t="n">
        <x:v>16</x:v>
      </x:c>
      <x:c r="G84" s="24" t="n">
        <x:v>32</x:v>
      </x:c>
      <x:c r="H84" s="24" t="n">
        <x:v>0</x:v>
      </x:c>
      <x:c r="I84" s="24" t="n">
        <x:v>1.92</x:v>
      </x:c>
      <x:c r="J84" s="24" t="n">
        <x:v>6.95</x:v>
      </x:c>
      <x:c r="K84" s="24" t="n">
        <x:v>0</x:v>
      </x:c>
      <x:c r="L84" s="24" t="n">
        <x:v>1.49</x:v>
      </x:c>
      <x:c r="M84" s="24" t="n">
        <x:v>39.38</x:v>
      </x:c>
      <x:c r="N84" s="24" t="n">
        <x:v>39.38</x:v>
      </x:c>
      <x:c r="O84" t="str">
        <x:v>Paid</x:v>
      </x:c>
      <x:c r="P84" t="str">
        <x:v>Delivered</x:v>
      </x:c>
      <x:c r="Q84" t="str">
        <x:f>IF(COUNTIF($A$2:$A$241,A84)&gt;1,"DUPLICATE","")</x:f>
      </x:c>
      <x:c r="R84" t="str">
        <x:f>IF(OR(A84="",B84="",C84="",D84="",E84=""),"MISSING","")</x:f>
      </x:c>
      <x:c r="S84" t="str">
        <x:f>IF(COUNTIF('Product Master'!$A$2:$A$9,D84)=0,"INVALID SKU","")</x:f>
      </x:c>
      <x:c r="T84" s="24" t="n">
        <x:f>N84-M84</x:f>
        <x:v>0</x:v>
      </x:c>
      <x:c r="U84" t="str">
        <x:f>IF(AND(K84&gt;0,O84="Paid"),"REFUND STATUS","")</x:f>
      </x:c>
      <x:c r="V84" t="n">
        <x:f>IF(Q84&lt;&gt;"",1,0)+IF(R84&lt;&gt;"",1,0)+IF(S84&lt;&gt;"",1,0)+IF(ABS(T84)&gt;0.01,1,0)+IF(U84&lt;&gt;"",1,0)</x:f>
        <x:v>0</x:v>
      </x:c>
      <x:c r="W84" t="str">
        <x:f>IF(V84=0,"PASS","REVIEW")</x:f>
        <x:v>PASS</x:v>
      </x:c>
    </x:row>
    <x:row r="85">
      <x:c r="A85" t="str">
        <x:v>ORD-5084</x:v>
      </x:c>
      <x:c r="B85" s="26" t="n">
        <x:v>46196</x:v>
      </x:c>
      <x:c r="C85" t="str">
        <x:v>C-1016</x:v>
      </x:c>
      <x:c r="D85" t="str">
        <x:v>SKU-104</x:v>
      </x:c>
      <x:c r="E85" t="n">
        <x:v>3</x:v>
      </x:c>
      <x:c r="F85" s="24" t="n">
        <x:v>58</x:v>
      </x:c>
      <x:c r="G85" s="24" t="n">
        <x:v>174</x:v>
      </x:c>
      <x:c r="H85" s="24" t="n">
        <x:v>0</x:v>
      </x:c>
      <x:c r="I85" s="24" t="n">
        <x:v>10.44</x:v>
      </x:c>
      <x:c r="J85" s="24" t="n">
        <x:v>0</x:v>
      </x:c>
      <x:c r="K85" s="24" t="n">
        <x:v>0</x:v>
      </x:c>
      <x:c r="L85" s="24" t="n">
        <x:v>5.65</x:v>
      </x:c>
      <x:c r="M85" s="24" t="n">
        <x:v>178.79</x:v>
      </x:c>
      <x:c r="N85" s="24" t="n">
        <x:v>178.79</x:v>
      </x:c>
      <x:c r="O85" t="str">
        <x:v>Paid</x:v>
      </x:c>
      <x:c r="P85" t="str">
        <x:v>Delivered</x:v>
      </x:c>
      <x:c r="Q85" t="str">
        <x:f>IF(COUNTIF($A$2:$A$241,A85)&gt;1,"DUPLICATE","")</x:f>
      </x:c>
      <x:c r="R85" t="str">
        <x:f>IF(OR(A85="",B85="",C85="",D85="",E85=""),"MISSING","")</x:f>
      </x:c>
      <x:c r="S85" t="str">
        <x:f>IF(COUNTIF('Product Master'!$A$2:$A$9,D85)=0,"INVALID SKU","")</x:f>
      </x:c>
      <x:c r="T85" s="24" t="n">
        <x:f>N85-M85</x:f>
        <x:v>0</x:v>
      </x:c>
      <x:c r="U85" t="str">
        <x:f>IF(AND(K85&gt;0,O85="Paid"),"REFUND STATUS","")</x:f>
      </x:c>
      <x:c r="V85" t="n">
        <x:f>IF(Q85&lt;&gt;"",1,0)+IF(R85&lt;&gt;"",1,0)+IF(S85&lt;&gt;"",1,0)+IF(ABS(T85)&gt;0.01,1,0)+IF(U85&lt;&gt;"",1,0)</x:f>
        <x:v>0</x:v>
      </x:c>
      <x:c r="W85" t="str">
        <x:f>IF(V85=0,"PASS","REVIEW")</x:f>
        <x:v>PASS</x:v>
      </x:c>
    </x:row>
    <x:row r="86">
      <x:c r="A86" t="str">
        <x:v>ORD-5085</x:v>
      </x:c>
      <x:c r="B86" s="26" t="n">
        <x:v>46197</x:v>
      </x:c>
      <x:c r="C86" t="str">
        <x:v>C-1017</x:v>
      </x:c>
      <x:c r="D86" t="str">
        <x:v>SKU-105</x:v>
      </x:c>
      <x:c r="E86" t="n">
        <x:v>1</x:v>
      </x:c>
      <x:c r="F86" s="24" t="n">
        <x:v>32</x:v>
      </x:c>
      <x:c r="G86" s="24" t="n">
        <x:v>32</x:v>
      </x:c>
      <x:c r="H86" s="24" t="n">
        <x:v>0</x:v>
      </x:c>
      <x:c r="I86" s="24" t="n">
        <x:v>1.92</x:v>
      </x:c>
      <x:c r="J86" s="24" t="n">
        <x:v>6.95</x:v>
      </x:c>
      <x:c r="K86" s="24" t="n">
        <x:v>0</x:v>
      </x:c>
      <x:c r="L86" s="24" t="n">
        <x:v>1.49</x:v>
      </x:c>
      <x:c r="M86" s="24" t="n">
        <x:v>39.38</x:v>
      </x:c>
      <x:c r="N86" s="24" t="n">
        <x:v>39.38</x:v>
      </x:c>
      <x:c r="O86" t="str">
        <x:v>Paid</x:v>
      </x:c>
      <x:c r="P86" t="str">
        <x:v>Delivered</x:v>
      </x:c>
      <x:c r="Q86" t="str">
        <x:f>IF(COUNTIF($A$2:$A$241,A86)&gt;1,"DUPLICATE","")</x:f>
      </x:c>
      <x:c r="R86" t="str">
        <x:f>IF(OR(A86="",B86="",C86="",D86="",E86=""),"MISSING","")</x:f>
      </x:c>
      <x:c r="S86" t="str">
        <x:f>IF(COUNTIF('Product Master'!$A$2:$A$9,D86)=0,"INVALID SKU","")</x:f>
      </x:c>
      <x:c r="T86" s="24" t="n">
        <x:f>N86-M86</x:f>
        <x:v>0</x:v>
      </x:c>
      <x:c r="U86" t="str">
        <x:f>IF(AND(K86&gt;0,O86="Paid"),"REFUND STATUS","")</x:f>
      </x:c>
      <x:c r="V86" t="n">
        <x:f>IF(Q86&lt;&gt;"",1,0)+IF(R86&lt;&gt;"",1,0)+IF(S86&lt;&gt;"",1,0)+IF(ABS(T86)&gt;0.01,1,0)+IF(U86&lt;&gt;"",1,0)</x:f>
        <x:v>0</x:v>
      </x:c>
      <x:c r="W86" t="str">
        <x:f>IF(V86=0,"PASS","REVIEW")</x:f>
        <x:v>PASS</x:v>
      </x:c>
    </x:row>
    <x:row r="87">
      <x:c r="A87" t="str">
        <x:v>ORD-5086</x:v>
      </x:c>
      <x:c r="B87" s="26" t="n">
        <x:v>46198</x:v>
      </x:c>
      <x:c r="C87" t="str">
        <x:v>C-1018</x:v>
      </x:c>
      <x:c r="D87" t="str">
        <x:v>SKU-106</x:v>
      </x:c>
      <x:c r="E87" t="n">
        <x:v>2</x:v>
      </x:c>
      <x:c r="F87" s="24" t="n">
        <x:v>36</x:v>
      </x:c>
      <x:c r="G87" s="24" t="n">
        <x:v>72</x:v>
      </x:c>
      <x:c r="H87" s="24" t="n">
        <x:v>0</x:v>
      </x:c>
      <x:c r="I87" s="24" t="n">
        <x:v>4.32</x:v>
      </x:c>
      <x:c r="J87" s="24" t="n">
        <x:v>0</x:v>
      </x:c>
      <x:c r="K87" s="24" t="n">
        <x:v>0</x:v>
      </x:c>
      <x:c r="L87" s="24" t="n">
        <x:v>2.51</x:v>
      </x:c>
      <x:c r="M87" s="24" t="n">
        <x:v>73.81</x:v>
      </x:c>
      <x:c r="N87" s="24" t="n">
        <x:v>73.81</x:v>
      </x:c>
      <x:c r="O87" t="str">
        <x:v>Paid</x:v>
      </x:c>
      <x:c r="P87" t="str">
        <x:v>Delivered</x:v>
      </x:c>
      <x:c r="Q87" t="str">
        <x:f>IF(COUNTIF($A$2:$A$241,A87)&gt;1,"DUPLICATE","")</x:f>
      </x:c>
      <x:c r="R87" t="str">
        <x:f>IF(OR(A87="",B87="",C87="",D87="",E87=""),"MISSING","")</x:f>
      </x:c>
      <x:c r="S87" t="str">
        <x:f>IF(COUNTIF('Product Master'!$A$2:$A$9,D87)=0,"INVALID SKU","")</x:f>
      </x:c>
      <x:c r="T87" s="24" t="n">
        <x:f>N87-M87</x:f>
        <x:v>0</x:v>
      </x:c>
      <x:c r="U87" t="str">
        <x:f>IF(AND(K87&gt;0,O87="Paid"),"REFUND STATUS","")</x:f>
      </x:c>
      <x:c r="V87" t="n">
        <x:f>IF(Q87&lt;&gt;"",1,0)+IF(R87&lt;&gt;"",1,0)+IF(S87&lt;&gt;"",1,0)+IF(ABS(T87)&gt;0.01,1,0)+IF(U87&lt;&gt;"",1,0)</x:f>
        <x:v>0</x:v>
      </x:c>
      <x:c r="W87" t="str">
        <x:f>IF(V87=0,"PASS","REVIEW")</x:f>
        <x:v>PASS</x:v>
      </x:c>
    </x:row>
    <x:row r="88">
      <x:c r="A88" t="str">
        <x:v>ORD-5087</x:v>
      </x:c>
      <x:c r="B88" s="26" t="n">
        <x:v>46199</x:v>
      </x:c>
      <x:c r="C88" t="str">
        <x:v>C-1019</x:v>
      </x:c>
      <x:c r="D88" t="str">
        <x:v>SKU-107</x:v>
      </x:c>
      <x:c r="E88" t="n">
        <x:v>3</x:v>
      </x:c>
      <x:c r="F88" s="24" t="n">
        <x:v>9</x:v>
      </x:c>
      <x:c r="G88" s="24" t="n">
        <x:v>27</x:v>
      </x:c>
      <x:c r="H88" s="24" t="n">
        <x:v>0</x:v>
      </x:c>
      <x:c r="I88" s="24" t="n">
        <x:v>1.62</x:v>
      </x:c>
      <x:c r="J88" s="24" t="n">
        <x:v>6.95</x:v>
      </x:c>
      <x:c r="K88" s="24" t="n">
        <x:v>0</x:v>
      </x:c>
      <x:c r="L88" s="24" t="n">
        <x:v>1.33</x:v>
      </x:c>
      <x:c r="M88" s="24" t="n">
        <x:v>34.24</x:v>
      </x:c>
      <x:c r="N88" s="24" t="n">
        <x:v>34.24</x:v>
      </x:c>
      <x:c r="O88" t="str">
        <x:v>Paid</x:v>
      </x:c>
      <x:c r="P88" t="str">
        <x:v>Delivered</x:v>
      </x:c>
      <x:c r="Q88" t="str">
        <x:f>IF(COUNTIF($A$2:$A$241,A88)&gt;1,"DUPLICATE","")</x:f>
      </x:c>
      <x:c r="R88" t="str">
        <x:f>IF(OR(A88="",B88="",C88="",D88="",E88=""),"MISSING","")</x:f>
      </x:c>
      <x:c r="S88" t="str">
        <x:f>IF(COUNTIF('Product Master'!$A$2:$A$9,D88)=0,"INVALID SKU","")</x:f>
      </x:c>
      <x:c r="T88" s="24" t="n">
        <x:f>N88-M88</x:f>
        <x:v>0</x:v>
      </x:c>
      <x:c r="U88" t="str">
        <x:f>IF(AND(K88&gt;0,O88="Paid"),"REFUND STATUS","")</x:f>
      </x:c>
      <x:c r="V88" t="n">
        <x:f>IF(Q88&lt;&gt;"",1,0)+IF(R88&lt;&gt;"",1,0)+IF(S88&lt;&gt;"",1,0)+IF(ABS(T88)&gt;0.01,1,0)+IF(U88&lt;&gt;"",1,0)</x:f>
        <x:v>0</x:v>
      </x:c>
      <x:c r="W88" t="str">
        <x:f>IF(V88=0,"PASS","REVIEW")</x:f>
        <x:v>PASS</x:v>
      </x:c>
    </x:row>
    <x:row r="89">
      <x:c r="A89" t="str">
        <x:v>ORD-5088</x:v>
      </x:c>
      <x:c r="B89" s="26" t="n">
        <x:v>46200</x:v>
      </x:c>
      <x:c r="C89" t="str">
        <x:v>C-1020</x:v>
      </x:c>
      <x:c r="D89" t="str">
        <x:v>SKU-108</x:v>
      </x:c>
      <x:c r="E89" t="n">
        <x:v>1</x:v>
      </x:c>
      <x:c r="F89" s="24" t="n">
        <x:v>42</x:v>
      </x:c>
      <x:c r="G89" s="24" t="n">
        <x:v>42</x:v>
      </x:c>
      <x:c r="H89" s="24" t="n">
        <x:v>0</x:v>
      </x:c>
      <x:c r="I89" s="24" t="n">
        <x:v>2.52</x:v>
      </x:c>
      <x:c r="J89" s="24" t="n">
        <x:v>6.95</x:v>
      </x:c>
      <x:c r="K89" s="24" t="n">
        <x:v>0</x:v>
      </x:c>
      <x:c r="L89" s="24" t="n">
        <x:v>1.79</x:v>
      </x:c>
      <x:c r="M89" s="24" t="n">
        <x:v>49.68</x:v>
      </x:c>
      <x:c r="N89" s="24" t="n">
        <x:v>49.68</x:v>
      </x:c>
      <x:c r="O89" t="str">
        <x:v>Paid</x:v>
      </x:c>
      <x:c r="P89" t="str">
        <x:v>Delivered</x:v>
      </x:c>
      <x:c r="Q89" t="str">
        <x:f>IF(COUNTIF($A$2:$A$241,A89)&gt;1,"DUPLICATE","")</x:f>
      </x:c>
      <x:c r="R89" t="str">
        <x:f>IF(OR(A89="",B89="",C89="",D89="",E89=""),"MISSING","")</x:f>
      </x:c>
      <x:c r="S89" t="str">
        <x:f>IF(COUNTIF('Product Master'!$A$2:$A$9,D89)=0,"INVALID SKU","")</x:f>
      </x:c>
      <x:c r="T89" s="24" t="n">
        <x:f>N89-M89</x:f>
        <x:v>0</x:v>
      </x:c>
      <x:c r="U89" t="str">
        <x:f>IF(AND(K89&gt;0,O89="Paid"),"REFUND STATUS","")</x:f>
      </x:c>
      <x:c r="V89" t="n">
        <x:f>IF(Q89&lt;&gt;"",1,0)+IF(R89&lt;&gt;"",1,0)+IF(S89&lt;&gt;"",1,0)+IF(ABS(T89)&gt;0.01,1,0)+IF(U89&lt;&gt;"",1,0)</x:f>
        <x:v>0</x:v>
      </x:c>
      <x:c r="W89" t="str">
        <x:f>IF(V89=0,"PASS","REVIEW")</x:f>
        <x:v>PASS</x:v>
      </x:c>
    </x:row>
    <x:row r="90">
      <x:c r="A90" t="str">
        <x:v>ORD-5089</x:v>
      </x:c>
      <x:c r="B90" s="26" t="n">
        <x:v>46201</x:v>
      </x:c>
      <x:c r="C90" t="str">
        <x:v>C-1021</x:v>
      </x:c>
      <x:c r="D90" t="str">
        <x:v>SKU-101</x:v>
      </x:c>
      <x:c r="E90" t="n">
        <x:v>2</x:v>
      </x:c>
      <x:c r="F90" s="24" t="n">
        <x:v>24</x:v>
      </x:c>
      <x:c r="G90" s="24" t="n">
        <x:v>48</x:v>
      </x:c>
      <x:c r="H90" s="24" t="n">
        <x:v>0</x:v>
      </x:c>
      <x:c r="I90" s="24" t="n">
        <x:v>2.88</x:v>
      </x:c>
      <x:c r="J90" s="24" t="n">
        <x:v>6.95</x:v>
      </x:c>
      <x:c r="K90" s="24" t="n">
        <x:v>24</x:v>
      </x:c>
      <x:c r="L90" s="24" t="n">
        <x:v>1.28</x:v>
      </x:c>
      <x:c r="M90" s="24" t="n">
        <x:v>32.55</x:v>
      </x:c>
      <x:c r="N90" s="24" t="n">
        <x:v>32.55</x:v>
      </x:c>
      <x:c r="O90" t="str">
        <x:v>Partially Refunded</x:v>
      </x:c>
      <x:c r="P90" t="str">
        <x:v>Delivered</x:v>
      </x:c>
      <x:c r="Q90" t="str">
        <x:f>IF(COUNTIF($A$2:$A$241,A90)&gt;1,"DUPLICATE","")</x:f>
      </x:c>
      <x:c r="R90" t="str">
        <x:f>IF(OR(A90="",B90="",C90="",D90="",E90=""),"MISSING","")</x:f>
      </x:c>
      <x:c r="S90" t="str">
        <x:f>IF(COUNTIF('Product Master'!$A$2:$A$9,D90)=0,"INVALID SKU","")</x:f>
      </x:c>
      <x:c r="T90" s="24" t="n">
        <x:f>N90-M90</x:f>
        <x:v>0</x:v>
      </x:c>
      <x:c r="U90" t="str">
        <x:f>IF(AND(K90&gt;0,O90="Paid"),"REFUND STATUS","")</x:f>
      </x:c>
      <x:c r="V90" t="n">
        <x:f>IF(Q90&lt;&gt;"",1,0)+IF(R90&lt;&gt;"",1,0)+IF(S90&lt;&gt;"",1,0)+IF(ABS(T90)&gt;0.01,1,0)+IF(U90&lt;&gt;"",1,0)</x:f>
        <x:v>0</x:v>
      </x:c>
      <x:c r="W90" t="str">
        <x:f>IF(V90=0,"PASS","REVIEW")</x:f>
        <x:v>PASS</x:v>
      </x:c>
    </x:row>
    <x:row r="91">
      <x:c r="A91" t="str">
        <x:v>ORD-5090</x:v>
      </x:c>
      <x:c r="B91" s="26" t="n">
        <x:v>46202</x:v>
      </x:c>
      <x:c r="C91" t="str">
        <x:v>C-1022</x:v>
      </x:c>
      <x:c r="D91" t="str">
        <x:v>SKU-102</x:v>
      </x:c>
      <x:c r="E91" t="n">
        <x:v>3</x:v>
      </x:c>
      <x:c r="F91" s="24" t="n">
        <x:v>28</x:v>
      </x:c>
      <x:c r="G91" s="24" t="n">
        <x:v>84</x:v>
      </x:c>
      <x:c r="H91" s="24" t="n">
        <x:v>0</x:v>
      </x:c>
      <x:c r="I91" s="24" t="n">
        <x:v>5.04</x:v>
      </x:c>
      <x:c r="J91" s="24" t="n">
        <x:v>0</x:v>
      </x:c>
      <x:c r="K91" s="24" t="n">
        <x:v>0</x:v>
      </x:c>
      <x:c r="L91" s="24" t="n">
        <x:v>2.88</x:v>
      </x:c>
      <x:c r="M91" s="24" t="n">
        <x:v>86.16</x:v>
      </x:c>
      <x:c r="N91" s="24" t="n">
        <x:v>86.16</x:v>
      </x:c>
      <x:c r="O91" t="str">
        <x:v>Paid</x:v>
      </x:c>
      <x:c r="P91" t="str">
        <x:v>Delivered</x:v>
      </x:c>
      <x:c r="Q91" t="str">
        <x:f>IF(COUNTIF($A$2:$A$241,A91)&gt;1,"DUPLICATE","")</x:f>
      </x:c>
      <x:c r="R91" t="str">
        <x:f>IF(OR(A91="",B91="",C91="",D91="",E91=""),"MISSING","")</x:f>
      </x:c>
      <x:c r="S91" t="str">
        <x:f>IF(COUNTIF('Product Master'!$A$2:$A$9,D91)=0,"INVALID SKU","")</x:f>
      </x:c>
      <x:c r="T91" s="24" t="n">
        <x:f>N91-M91</x:f>
        <x:v>0</x:v>
      </x:c>
      <x:c r="U91" t="str">
        <x:f>IF(AND(K91&gt;0,O91="Paid"),"REFUND STATUS","")</x:f>
      </x:c>
      <x:c r="V91" t="n">
        <x:f>IF(Q91&lt;&gt;"",1,0)+IF(R91&lt;&gt;"",1,0)+IF(S91&lt;&gt;"",1,0)+IF(ABS(T91)&gt;0.01,1,0)+IF(U91&lt;&gt;"",1,0)</x:f>
        <x:v>0</x:v>
      </x:c>
      <x:c r="W91" t="str">
        <x:f>IF(V91=0,"PASS","REVIEW")</x:f>
        <x:v>PASS</x:v>
      </x:c>
    </x:row>
    <x:row r="92">
      <x:c r="A92" t="str">
        <x:v>ORD-5091</x:v>
      </x:c>
      <x:c r="B92" s="26" t="n">
        <x:v>46203</x:v>
      </x:c>
      <x:c r="C92" t="str">
        <x:v>C-1023</x:v>
      </x:c>
      <x:c r="D92" t="str">
        <x:v>SKU-103</x:v>
      </x:c>
      <x:c r="E92" t="n">
        <x:v>1</x:v>
      </x:c>
      <x:c r="F92" s="24" t="n">
        <x:v>16</x:v>
      </x:c>
      <x:c r="G92" s="24" t="n">
        <x:v>16</x:v>
      </x:c>
      <x:c r="H92" s="24" t="n">
        <x:v>1.6</x:v>
      </x:c>
      <x:c r="I92" s="24" t="n">
        <x:v>0.86</x:v>
      </x:c>
      <x:c r="J92" s="24" t="n">
        <x:v>6.95</x:v>
      </x:c>
      <x:c r="K92" s="24" t="n">
        <x:v>0</x:v>
      </x:c>
      <x:c r="L92" s="24" t="n">
        <x:v>0.94</x:v>
      </x:c>
      <x:c r="M92" s="24" t="n">
        <x:v>21.27</x:v>
      </x:c>
      <x:c r="N92" s="24" t="n">
        <x:v>21.27</x:v>
      </x:c>
      <x:c r="O92" t="str">
        <x:v>Paid</x:v>
      </x:c>
      <x:c r="P92" t="str">
        <x:v>Delivered</x:v>
      </x:c>
      <x:c r="Q92" t="str">
        <x:f>IF(COUNTIF($A$2:$A$241,A92)&gt;1,"DUPLICATE","")</x:f>
      </x:c>
      <x:c r="R92" t="str">
        <x:f>IF(OR(A92="",B92="",C92="",D92="",E92=""),"MISSING","")</x:f>
      </x:c>
      <x:c r="S92" t="str">
        <x:f>IF(COUNTIF('Product Master'!$A$2:$A$9,D92)=0,"INVALID SKU","")</x:f>
      </x:c>
      <x:c r="T92" s="24" t="n">
        <x:f>N92-M92</x:f>
        <x:v>0</x:v>
      </x:c>
      <x:c r="U92" t="str">
        <x:f>IF(AND(K92&gt;0,O92="Paid"),"REFUND STATUS","")</x:f>
      </x:c>
      <x:c r="V92" t="n">
        <x:f>IF(Q92&lt;&gt;"",1,0)+IF(R92&lt;&gt;"",1,0)+IF(S92&lt;&gt;"",1,0)+IF(ABS(T92)&gt;0.01,1,0)+IF(U92&lt;&gt;"",1,0)</x:f>
        <x:v>0</x:v>
      </x:c>
      <x:c r="W92" t="str">
        <x:f>IF(V92=0,"PASS","REVIEW")</x:f>
        <x:v>PASS</x:v>
      </x:c>
    </x:row>
    <x:row r="93">
      <x:c r="A93" t="str">
        <x:v>ORD-5092</x:v>
      </x:c>
      <x:c r="B93" s="26" t="n">
        <x:v>46113</x:v>
      </x:c>
      <x:c r="C93" t="str">
        <x:v>C-1024</x:v>
      </x:c>
      <x:c r="D93" t="str">
        <x:v>SKU-104</x:v>
      </x:c>
      <x:c r="E93" t="n">
        <x:v>2</x:v>
      </x:c>
      <x:c r="F93" s="24" t="n">
        <x:v>58</x:v>
      </x:c>
      <x:c r="G93" s="24" t="n">
        <x:v>116</x:v>
      </x:c>
      <x:c r="H93" s="24" t="n">
        <x:v>0</x:v>
      </x:c>
      <x:c r="I93" s="24" t="n">
        <x:v>6.96</x:v>
      </x:c>
      <x:c r="J93" s="24" t="n">
        <x:v>0</x:v>
      </x:c>
      <x:c r="K93" s="24" t="n">
        <x:v>0</x:v>
      </x:c>
      <x:c r="L93" s="24" t="n">
        <x:v>3.87</x:v>
      </x:c>
      <x:c r="M93" s="24" t="n">
        <x:v>119.09</x:v>
      </x:c>
      <x:c r="N93" s="24" t="n">
        <x:v>119.09</x:v>
      </x:c>
      <x:c r="O93" t="str">
        <x:v>Paid</x:v>
      </x:c>
      <x:c r="P93" t="str">
        <x:v>Delivered</x:v>
      </x:c>
      <x:c r="Q93" t="str">
        <x:f>IF(COUNTIF($A$2:$A$241,A93)&gt;1,"DUPLICATE","")</x:f>
      </x:c>
      <x:c r="R93" t="str">
        <x:f>IF(OR(A93="",B93="",C93="",D93="",E93=""),"MISSING","")</x:f>
      </x:c>
      <x:c r="S93" t="str">
        <x:f>IF(COUNTIF('Product Master'!$A$2:$A$9,D93)=0,"INVALID SKU","")</x:f>
      </x:c>
      <x:c r="T93" s="24" t="n">
        <x:f>N93-M93</x:f>
        <x:v>0</x:v>
      </x:c>
      <x:c r="U93" t="str">
        <x:f>IF(AND(K93&gt;0,O93="Paid"),"REFUND STATUS","")</x:f>
      </x:c>
      <x:c r="V93" t="n">
        <x:f>IF(Q93&lt;&gt;"",1,0)+IF(R93&lt;&gt;"",1,0)+IF(S93&lt;&gt;"",1,0)+IF(ABS(T93)&gt;0.01,1,0)+IF(U93&lt;&gt;"",1,0)</x:f>
        <x:v>0</x:v>
      </x:c>
      <x:c r="W93" t="str">
        <x:f>IF(V93=0,"PASS","REVIEW")</x:f>
        <x:v>PASS</x:v>
      </x:c>
    </x:row>
    <x:row r="94">
      <x:c r="A94" t="str">
        <x:v>ORD-5093</x:v>
      </x:c>
      <x:c r="B94" s="26" t="n">
        <x:v>46114</x:v>
      </x:c>
      <x:c r="C94" t="str">
        <x:v>C-1025</x:v>
      </x:c>
      <x:c r="D94" t="str">
        <x:v>SKU-105</x:v>
      </x:c>
      <x:c r="E94" t="n">
        <x:v>3</x:v>
      </x:c>
      <x:c r="F94" s="24" t="n">
        <x:v>32</x:v>
      </x:c>
      <x:c r="G94" s="24" t="n">
        <x:v>96</x:v>
      </x:c>
      <x:c r="H94" s="24" t="n">
        <x:v>0</x:v>
      </x:c>
      <x:c r="I94" s="24" t="n">
        <x:v>5.76</x:v>
      </x:c>
      <x:c r="J94" s="24" t="n">
        <x:v>0</x:v>
      </x:c>
      <x:c r="K94" s="24" t="n">
        <x:v>0</x:v>
      </x:c>
      <x:c r="L94" s="24" t="n">
        <x:v>3.25</x:v>
      </x:c>
      <x:c r="M94" s="24" t="n">
        <x:v>98.51</x:v>
      </x:c>
      <x:c r="N94" s="24" t="n">
        <x:v>98.51</x:v>
      </x:c>
      <x:c r="O94" t="str">
        <x:v>Paid</x:v>
      </x:c>
      <x:c r="P94" t="str">
        <x:v>Delivered</x:v>
      </x:c>
      <x:c r="Q94" t="str">
        <x:f>IF(COUNTIF($A$2:$A$241,A94)&gt;1,"DUPLICATE","")</x:f>
      </x:c>
      <x:c r="R94" t="str">
        <x:f>IF(OR(A94="",B94="",C94="",D94="",E94=""),"MISSING","")</x:f>
      </x:c>
      <x:c r="S94" t="str">
        <x:f>IF(COUNTIF('Product Master'!$A$2:$A$9,D94)=0,"INVALID SKU","")</x:f>
      </x:c>
      <x:c r="T94" s="24" t="n">
        <x:f>N94-M94</x:f>
        <x:v>0</x:v>
      </x:c>
      <x:c r="U94" t="str">
        <x:f>IF(AND(K94&gt;0,O94="Paid"),"REFUND STATUS","")</x:f>
      </x:c>
      <x:c r="V94" t="n">
        <x:f>IF(Q94&lt;&gt;"",1,0)+IF(R94&lt;&gt;"",1,0)+IF(S94&lt;&gt;"",1,0)+IF(ABS(T94)&gt;0.01,1,0)+IF(U94&lt;&gt;"",1,0)</x:f>
        <x:v>0</x:v>
      </x:c>
      <x:c r="W94" t="str">
        <x:f>IF(V94=0,"PASS","REVIEW")</x:f>
        <x:v>PASS</x:v>
      </x:c>
    </x:row>
    <x:row r="95">
      <x:c r="A95" t="str">
        <x:v>ORD-5094</x:v>
      </x:c>
      <x:c r="B95" s="26" t="n">
        <x:v>46115</x:v>
      </x:c>
      <x:c r="C95" t="str">
        <x:v>C-1026</x:v>
      </x:c>
      <x:c r="D95" t="str">
        <x:v>SKU-106</x:v>
      </x:c>
      <x:c r="E95" t="n">
        <x:v>1</x:v>
      </x:c>
      <x:c r="F95" s="24" t="n">
        <x:v>36</x:v>
      </x:c>
      <x:c r="G95" s="24" t="n">
        <x:v>36</x:v>
      </x:c>
      <x:c r="H95" s="24" t="n">
        <x:v>0</x:v>
      </x:c>
      <x:c r="I95" s="24" t="n">
        <x:v>2.16</x:v>
      </x:c>
      <x:c r="J95" s="24" t="n">
        <x:v>6.95</x:v>
      </x:c>
      <x:c r="K95" s="24" t="n">
        <x:v>0</x:v>
      </x:c>
      <x:c r="L95" s="24" t="n">
        <x:v>1.61</x:v>
      </x:c>
      <x:c r="M95" s="24" t="n">
        <x:v>43.5</x:v>
      </x:c>
      <x:c r="N95" s="24" t="n">
        <x:v>43.5</x:v>
      </x:c>
      <x:c r="O95" t="str">
        <x:v>Paid</x:v>
      </x:c>
      <x:c r="P95" t="str">
        <x:v>Delivered</x:v>
      </x:c>
      <x:c r="Q95" t="str">
        <x:f>IF(COUNTIF($A$2:$A$241,A95)&gt;1,"DUPLICATE","")</x:f>
      </x:c>
      <x:c r="R95" t="str">
        <x:f>IF(OR(A95="",B95="",C95="",D95="",E95=""),"MISSING","")</x:f>
      </x:c>
      <x:c r="S95" t="str">
        <x:f>IF(COUNTIF('Product Master'!$A$2:$A$9,D95)=0,"INVALID SKU","")</x:f>
      </x:c>
      <x:c r="T95" s="24" t="n">
        <x:f>N95-M95</x:f>
        <x:v>0</x:v>
      </x:c>
      <x:c r="U95" t="str">
        <x:f>IF(AND(K95&gt;0,O95="Paid"),"REFUND STATUS","")</x:f>
      </x:c>
      <x:c r="V95" t="n">
        <x:f>IF(Q95&lt;&gt;"",1,0)+IF(R95&lt;&gt;"",1,0)+IF(S95&lt;&gt;"",1,0)+IF(ABS(T95)&gt;0.01,1,0)+IF(U95&lt;&gt;"",1,0)</x:f>
        <x:v>0</x:v>
      </x:c>
      <x:c r="W95" t="str">
        <x:f>IF(V95=0,"PASS","REVIEW")</x:f>
        <x:v>PASS</x:v>
      </x:c>
    </x:row>
    <x:row r="96">
      <x:c r="A96" t="str">
        <x:v>ORD-5095</x:v>
      </x:c>
      <x:c r="B96" s="26" t="n">
        <x:v>46116</x:v>
      </x:c>
      <x:c r="C96" t="str">
        <x:v>C-1027</x:v>
      </x:c>
      <x:c r="D96" t="str">
        <x:v>SKU-107</x:v>
      </x:c>
      <x:c r="E96" t="n">
        <x:v>2</x:v>
      </x:c>
      <x:c r="F96" s="24" t="n">
        <x:v>9</x:v>
      </x:c>
      <x:c r="G96" s="24" t="n">
        <x:v>18</x:v>
      </x:c>
      <x:c r="H96" s="24" t="n">
        <x:v>0</x:v>
      </x:c>
      <x:c r="I96" s="24" t="n">
        <x:v>1.08</x:v>
      </x:c>
      <x:c r="J96" s="24" t="n">
        <x:v>6.95</x:v>
      </x:c>
      <x:c r="K96" s="24" t="n">
        <x:v>0</x:v>
      </x:c>
      <x:c r="L96" s="24" t="n">
        <x:v>1.05</x:v>
      </x:c>
      <x:c r="M96" s="24" t="n">
        <x:v>24.98</x:v>
      </x:c>
      <x:c r="N96" s="24" t="n">
        <x:v>24.98</x:v>
      </x:c>
      <x:c r="O96" t="str">
        <x:v>Paid</x:v>
      </x:c>
      <x:c r="P96" t="str">
        <x:v>Delivered</x:v>
      </x:c>
      <x:c r="Q96" t="str">
        <x:f>IF(COUNTIF($A$2:$A$241,A96)&gt;1,"DUPLICATE","")</x:f>
      </x:c>
      <x:c r="R96" t="str">
        <x:f>IF(OR(A96="",B96="",C96="",D96="",E96=""),"MISSING","")</x:f>
      </x:c>
      <x:c r="S96" t="str">
        <x:f>IF(COUNTIF('Product Master'!$A$2:$A$9,D96)=0,"INVALID SKU","")</x:f>
      </x:c>
      <x:c r="T96" s="24" t="n">
        <x:f>N96-M96</x:f>
        <x:v>0</x:v>
      </x:c>
      <x:c r="U96" t="str">
        <x:f>IF(AND(K96&gt;0,O96="Paid"),"REFUND STATUS","")</x:f>
      </x:c>
      <x:c r="V96" t="n">
        <x:f>IF(Q96&lt;&gt;"",1,0)+IF(R96&lt;&gt;"",1,0)+IF(S96&lt;&gt;"",1,0)+IF(ABS(T96)&gt;0.01,1,0)+IF(U96&lt;&gt;"",1,0)</x:f>
        <x:v>0</x:v>
      </x:c>
      <x:c r="W96" t="str">
        <x:f>IF(V96=0,"PASS","REVIEW")</x:f>
        <x:v>PASS</x:v>
      </x:c>
    </x:row>
    <x:row r="97">
      <x:c r="A97" t="str">
        <x:v>ORD-5096</x:v>
      </x:c>
      <x:c r="B97" s="26" t="n">
        <x:v>46117</x:v>
      </x:c>
      <x:c r="C97" t="str">
        <x:v>C-1028</x:v>
      </x:c>
      <x:c r="D97" t="str">
        <x:v>SKU-108</x:v>
      </x:c>
      <x:c r="E97" t="n">
        <x:v>3</x:v>
      </x:c>
      <x:c r="F97" s="24" t="n">
        <x:v>42</x:v>
      </x:c>
      <x:c r="G97" s="24" t="n">
        <x:v>126</x:v>
      </x:c>
      <x:c r="H97" s="24" t="n">
        <x:v>0</x:v>
      </x:c>
      <x:c r="I97" s="24" t="n">
        <x:v>7.56</x:v>
      </x:c>
      <x:c r="J97" s="24" t="n">
        <x:v>0</x:v>
      </x:c>
      <x:c r="K97" s="24" t="n">
        <x:v>0</x:v>
      </x:c>
      <x:c r="L97" s="24" t="n">
        <x:v>4.17</x:v>
      </x:c>
      <x:c r="M97" s="24" t="n">
        <x:v>129.39</x:v>
      </x:c>
      <x:c r="N97" s="24" t="n">
        <x:v>129.39</x:v>
      </x:c>
      <x:c r="O97" t="str">
        <x:v>Paid</x:v>
      </x:c>
      <x:c r="P97" t="str">
        <x:v>Delivered</x:v>
      </x:c>
      <x:c r="Q97" t="str">
        <x:f>IF(COUNTIF($A$2:$A$241,A97)&gt;1,"DUPLICATE","")</x:f>
      </x:c>
      <x:c r="R97" t="str">
        <x:f>IF(OR(A97="",B97="",C97="",D97="",E97=""),"MISSING","")</x:f>
      </x:c>
      <x:c r="S97" t="str">
        <x:f>IF(COUNTIF('Product Master'!$A$2:$A$9,D97)=0,"INVALID SKU","")</x:f>
      </x:c>
      <x:c r="T97" s="24" t="n">
        <x:f>N97-M97</x:f>
        <x:v>0</x:v>
      </x:c>
      <x:c r="U97" t="str">
        <x:f>IF(AND(K97&gt;0,O97="Paid"),"REFUND STATUS","")</x:f>
      </x:c>
      <x:c r="V97" t="n">
        <x:f>IF(Q97&lt;&gt;"",1,0)+IF(R97&lt;&gt;"",1,0)+IF(S97&lt;&gt;"",1,0)+IF(ABS(T97)&gt;0.01,1,0)+IF(U97&lt;&gt;"",1,0)</x:f>
        <x:v>0</x:v>
      </x:c>
      <x:c r="W97" t="str">
        <x:f>IF(V97=0,"PASS","REVIEW")</x:f>
        <x:v>PASS</x:v>
      </x:c>
    </x:row>
    <x:row r="98">
      <x:c r="A98" t="str">
        <x:v>ORD-5097</x:v>
      </x:c>
      <x:c r="B98" s="26" t="n">
        <x:v>46118</x:v>
      </x:c>
      <x:c r="C98" t="str">
        <x:v>C-1029</x:v>
      </x:c>
      <x:c r="D98" t="str">
        <x:v>SKU-101</x:v>
      </x:c>
      <x:c r="E98" t="n">
        <x:v>1</x:v>
      </x:c>
      <x:c r="F98" s="24" t="n">
        <x:v>24</x:v>
      </x:c>
      <x:c r="G98" s="24" t="n">
        <x:v>24</x:v>
      </x:c>
      <x:c r="H98" s="24" t="n">
        <x:v>0</x:v>
      </x:c>
      <x:c r="I98" s="24" t="n">
        <x:v>1.44</x:v>
      </x:c>
      <x:c r="J98" s="24" t="n">
        <x:v>6.95</x:v>
      </x:c>
      <x:c r="K98" s="24" t="n">
        <x:v>0</x:v>
      </x:c>
      <x:c r="L98" s="24" t="n">
        <x:v>1.24</x:v>
      </x:c>
      <x:c r="M98" s="24" t="n">
        <x:v>31.15</x:v>
      </x:c>
      <x:c r="N98" s="24" t="n">
        <x:v>31.15</x:v>
      </x:c>
      <x:c r="O98" t="str">
        <x:v>Paid</x:v>
      </x:c>
      <x:c r="P98" t="str">
        <x:v>Delivered</x:v>
      </x:c>
      <x:c r="Q98" t="str">
        <x:f>IF(COUNTIF($A$2:$A$241,A98)&gt;1,"DUPLICATE","")</x:f>
      </x:c>
      <x:c r="R98" t="str">
        <x:f>IF(OR(A98="",B98="",C98="",D98="",E98=""),"MISSING","")</x:f>
      </x:c>
      <x:c r="S98" t="str">
        <x:f>IF(COUNTIF('Product Master'!$A$2:$A$9,D98)=0,"INVALID SKU","")</x:f>
      </x:c>
      <x:c r="T98" s="24" t="n">
        <x:f>N98-M98</x:f>
        <x:v>0</x:v>
      </x:c>
      <x:c r="U98" t="str">
        <x:f>IF(AND(K98&gt;0,O98="Paid"),"REFUND STATUS","")</x:f>
      </x:c>
      <x:c r="V98" t="n">
        <x:f>IF(Q98&lt;&gt;"",1,0)+IF(R98&lt;&gt;"",1,0)+IF(S98&lt;&gt;"",1,0)+IF(ABS(T98)&gt;0.01,1,0)+IF(U98&lt;&gt;"",1,0)</x:f>
        <x:v>0</x:v>
      </x:c>
      <x:c r="W98" t="str">
        <x:f>IF(V98=0,"PASS","REVIEW")</x:f>
        <x:v>PASS</x:v>
      </x:c>
    </x:row>
    <x:row r="99">
      <x:c r="A99" t="str">
        <x:v>ORD-5098</x:v>
      </x:c>
      <x:c r="B99" s="26" t="n">
        <x:v>46119</x:v>
      </x:c>
      <x:c r="C99" t="str">
        <x:v>C-1030</x:v>
      </x:c>
      <x:c r="D99" t="str">
        <x:v>SKU-102</x:v>
      </x:c>
      <x:c r="E99" t="n">
        <x:v>2</x:v>
      </x:c>
      <x:c r="F99" s="24" t="n">
        <x:v>28</x:v>
      </x:c>
      <x:c r="G99" s="24" t="n">
        <x:v>56</x:v>
      </x:c>
      <x:c r="H99" s="24" t="n">
        <x:v>0</x:v>
      </x:c>
      <x:c r="I99" s="24" t="n">
        <x:v>3.36</x:v>
      </x:c>
      <x:c r="J99" s="24" t="n">
        <x:v>6.95</x:v>
      </x:c>
      <x:c r="K99" s="24" t="n">
        <x:v>0</x:v>
      </x:c>
      <x:c r="L99" s="24" t="n">
        <x:v>2.22</x:v>
      </x:c>
      <x:c r="M99" s="24" t="n">
        <x:v>64.09</x:v>
      </x:c>
      <x:c r="N99" s="24" t="n">
        <x:v>64.09</x:v>
      </x:c>
      <x:c r="O99" t="str">
        <x:v>Paid</x:v>
      </x:c>
      <x:c r="P99" t="str">
        <x:v>Delivered</x:v>
      </x:c>
      <x:c r="Q99" t="str">
        <x:f>IF(COUNTIF($A$2:$A$241,A99)&gt;1,"DUPLICATE","")</x:f>
      </x:c>
      <x:c r="R99" t="str">
        <x:f>IF(OR(A99="",B99="",C99="",D99="",E99=""),"MISSING","")</x:f>
      </x:c>
      <x:c r="S99" t="str">
        <x:f>IF(COUNTIF('Product Master'!$A$2:$A$9,D99)=0,"INVALID SKU","")</x:f>
      </x:c>
      <x:c r="T99" s="24" t="n">
        <x:f>N99-M99</x:f>
        <x:v>0</x:v>
      </x:c>
      <x:c r="U99" t="str">
        <x:f>IF(AND(K99&gt;0,O99="Paid"),"REFUND STATUS","")</x:f>
      </x:c>
      <x:c r="V99" t="n">
        <x:f>IF(Q99&lt;&gt;"",1,0)+IF(R99&lt;&gt;"",1,0)+IF(S99&lt;&gt;"",1,0)+IF(ABS(T99)&gt;0.01,1,0)+IF(U99&lt;&gt;"",1,0)</x:f>
        <x:v>0</x:v>
      </x:c>
      <x:c r="W99" t="str">
        <x:f>IF(V99=0,"PASS","REVIEW")</x:f>
        <x:v>PASS</x:v>
      </x:c>
    </x:row>
    <x:row r="100">
      <x:c r="A100" t="str">
        <x:v>ORD-5099</x:v>
      </x:c>
      <x:c r="B100" s="26" t="n">
        <x:v>46120</x:v>
      </x:c>
      <x:c r="C100" t="str">
        <x:v>C-1031</x:v>
      </x:c>
      <x:c r="D100" t="str">
        <x:v>SKU-103</x:v>
      </x:c>
      <x:c r="E100" t="n">
        <x:v>3</x:v>
      </x:c>
      <x:c r="F100" s="24" t="n">
        <x:v>16</x:v>
      </x:c>
      <x:c r="G100" s="24" t="n">
        <x:v>48</x:v>
      </x:c>
      <x:c r="H100" s="24" t="n">
        <x:v>0</x:v>
      </x:c>
      <x:c r="I100" s="24" t="n">
        <x:v>2.88</x:v>
      </x:c>
      <x:c r="J100" s="24" t="n">
        <x:v>6.95</x:v>
      </x:c>
      <x:c r="K100" s="24" t="n">
        <x:v>0</x:v>
      </x:c>
      <x:c r="L100" s="24" t="n">
        <x:v>1.98</x:v>
      </x:c>
      <x:c r="M100" s="24" t="n">
        <x:v>55.85</x:v>
      </x:c>
      <x:c r="N100" s="24" t="n">
        <x:v>55.85</x:v>
      </x:c>
      <x:c r="O100" t="str">
        <x:v>Paid</x:v>
      </x:c>
      <x:c r="P100" t="str">
        <x:v>Delivered</x:v>
      </x:c>
      <x:c r="Q100" t="str">
        <x:f>IF(COUNTIF($A$2:$A$241,A100)&gt;1,"DUPLICATE","")</x:f>
      </x:c>
      <x:c r="R100" t="str">
        <x:f>IF(OR(A100="",B100="",C100="",D100="",E100=""),"MISSING","")</x:f>
      </x:c>
      <x:c r="S100" t="str">
        <x:f>IF(COUNTIF('Product Master'!$A$2:$A$9,D100)=0,"INVALID SKU","")</x:f>
      </x:c>
      <x:c r="T100" s="24" t="n">
        <x:f>N100-M100</x:f>
        <x:v>0</x:v>
      </x:c>
      <x:c r="U100" t="str">
        <x:f>IF(AND(K100&gt;0,O100="Paid"),"REFUND STATUS","")</x:f>
      </x:c>
      <x:c r="V100" t="n">
        <x:f>IF(Q100&lt;&gt;"",1,0)+IF(R100&lt;&gt;"",1,0)+IF(S100&lt;&gt;"",1,0)+IF(ABS(T100)&gt;0.01,1,0)+IF(U100&lt;&gt;"",1,0)</x:f>
        <x:v>0</x:v>
      </x:c>
      <x:c r="W100" t="str">
        <x:f>IF(V100=0,"PASS","REVIEW")</x:f>
        <x:v>PASS</x:v>
      </x:c>
    </x:row>
    <x:row r="101">
      <x:c r="A101" t="str">
        <x:v>ORD-5100</x:v>
      </x:c>
      <x:c r="B101" s="26" t="n">
        <x:v>46121</x:v>
      </x:c>
      <x:c r="C101" t="str">
        <x:v>C-1032</x:v>
      </x:c>
      <x:c r="D101" t="str">
        <x:v>SKU-104</x:v>
      </x:c>
      <x:c r="E101" t="n">
        <x:v>1</x:v>
      </x:c>
      <x:c r="F101" s="24" t="n">
        <x:v>58</x:v>
      </x:c>
      <x:c r="G101" s="24" t="n">
        <x:v>58</x:v>
      </x:c>
      <x:c r="H101" s="24" t="n">
        <x:v>5.8</x:v>
      </x:c>
      <x:c r="I101" s="24" t="n">
        <x:v>3.13</x:v>
      </x:c>
      <x:c r="J101" s="24" t="n">
        <x:v>6.95</x:v>
      </x:c>
      <x:c r="K101" s="24" t="n">
        <x:v>0</x:v>
      </x:c>
      <x:c r="L101" s="24" t="n">
        <x:v>2.11</x:v>
      </x:c>
      <x:c r="M101" s="24" t="n">
        <x:v>60.17</x:v>
      </x:c>
      <x:c r="N101" s="24" t="n">
        <x:v>60.17</x:v>
      </x:c>
      <x:c r="O101" t="str">
        <x:v>Paid</x:v>
      </x:c>
      <x:c r="P101" t="str">
        <x:v>Delivered</x:v>
      </x:c>
      <x:c r="Q101" t="str">
        <x:f>IF(COUNTIF($A$2:$A$241,A101)&gt;1,"DUPLICATE","")</x:f>
      </x:c>
      <x:c r="R101" t="str">
        <x:f>IF(OR(A101="",B101="",C101="",D101="",E101=""),"MISSING","")</x:f>
      </x:c>
      <x:c r="S101" t="str">
        <x:f>IF(COUNTIF('Product Master'!$A$2:$A$9,D101)=0,"INVALID SKU","")</x:f>
      </x:c>
      <x:c r="T101" s="24" t="n">
        <x:f>N101-M101</x:f>
        <x:v>0</x:v>
      </x:c>
      <x:c r="U101" t="str">
        <x:f>IF(AND(K101&gt;0,O101="Paid"),"REFUND STATUS","")</x:f>
      </x:c>
      <x:c r="V101" t="n">
        <x:f>IF(Q101&lt;&gt;"",1,0)+IF(R101&lt;&gt;"",1,0)+IF(S101&lt;&gt;"",1,0)+IF(ABS(T101)&gt;0.01,1,0)+IF(U101&lt;&gt;"",1,0)</x:f>
        <x:v>0</x:v>
      </x:c>
      <x:c r="W101" t="str">
        <x:f>IF(V101=0,"PASS","REVIEW")</x:f>
        <x:v>PASS</x:v>
      </x:c>
    </x:row>
    <x:row r="102">
      <x:c r="A102" t="str">
        <x:v>ORD-5101</x:v>
      </x:c>
      <x:c r="B102" s="26" t="n">
        <x:v>46122</x:v>
      </x:c>
      <x:c r="C102" t="str">
        <x:v>C-1033</x:v>
      </x:c>
      <x:c r="D102" t="str">
        <x:v>SKU-105</x:v>
      </x:c>
      <x:c r="E102" t="n">
        <x:v>2</x:v>
      </x:c>
      <x:c r="F102" s="24" t="n">
        <x:v>32</x:v>
      </x:c>
      <x:c r="G102" s="24" t="n">
        <x:v>64</x:v>
      </x:c>
      <x:c r="H102" s="24" t="n">
        <x:v>0</x:v>
      </x:c>
      <x:c r="I102" s="24" t="n">
        <x:v>3.84</x:v>
      </x:c>
      <x:c r="J102" s="24" t="n">
        <x:v>0</x:v>
      </x:c>
      <x:c r="K102" s="24" t="n">
        <x:v>0</x:v>
      </x:c>
      <x:c r="L102" s="24" t="n">
        <x:v>2.27</x:v>
      </x:c>
      <x:c r="M102" s="24" t="n">
        <x:v>65.57</x:v>
      </x:c>
      <x:c r="N102" s="24" t="n">
        <x:v>65.57</x:v>
      </x:c>
      <x:c r="O102" t="str">
        <x:v>Paid</x:v>
      </x:c>
      <x:c r="P102" t="str">
        <x:v>Delivered</x:v>
      </x:c>
      <x:c r="Q102" t="str">
        <x:f>IF(COUNTIF($A$2:$A$241,A102)&gt;1,"DUPLICATE","")</x:f>
      </x:c>
      <x:c r="R102" t="str">
        <x:f>IF(OR(A102="",B102="",C102="",D102="",E102=""),"MISSING","")</x:f>
      </x:c>
      <x:c r="S102" t="str">
        <x:f>IF(COUNTIF('Product Master'!$A$2:$A$9,D102)=0,"INVALID SKU","")</x:f>
      </x:c>
      <x:c r="T102" s="24" t="n">
        <x:f>N102-M102</x:f>
        <x:v>0</x:v>
      </x:c>
      <x:c r="U102" t="str">
        <x:f>IF(AND(K102&gt;0,O102="Paid"),"REFUND STATUS","")</x:f>
      </x:c>
      <x:c r="V102" t="n">
        <x:f>IF(Q102&lt;&gt;"",1,0)+IF(R102&lt;&gt;"",1,0)+IF(S102&lt;&gt;"",1,0)+IF(ABS(T102)&gt;0.01,1,0)+IF(U102&lt;&gt;"",1,0)</x:f>
        <x:v>0</x:v>
      </x:c>
      <x:c r="W102" t="str">
        <x:f>IF(V102=0,"PASS","REVIEW")</x:f>
        <x:v>PASS</x:v>
      </x:c>
    </x:row>
    <x:row r="103">
      <x:c r="A103" t="str">
        <x:v>ORD-5102</x:v>
      </x:c>
      <x:c r="B103" s="26" t="n">
        <x:v>46123</x:v>
      </x:c>
      <x:c r="C103" t="str">
        <x:v>C-1034</x:v>
      </x:c>
      <x:c r="D103" t="str">
        <x:v>SKU-106</x:v>
      </x:c>
      <x:c r="E103" t="n">
        <x:v>3</x:v>
      </x:c>
      <x:c r="F103" s="24" t="n">
        <x:v>36</x:v>
      </x:c>
      <x:c r="G103" s="24" t="n">
        <x:v>108</x:v>
      </x:c>
      <x:c r="H103" s="24" t="n">
        <x:v>0</x:v>
      </x:c>
      <x:c r="I103" s="24" t="n">
        <x:v>6.48</x:v>
      </x:c>
      <x:c r="J103" s="24" t="n">
        <x:v>0</x:v>
      </x:c>
      <x:c r="K103" s="24" t="n">
        <x:v>0</x:v>
      </x:c>
      <x:c r="L103" s="24" t="n">
        <x:v>3.62</x:v>
      </x:c>
      <x:c r="M103" s="24" t="n">
        <x:v>110.86</x:v>
      </x:c>
      <x:c r="N103" s="24" t="n">
        <x:v>110.86</x:v>
      </x:c>
      <x:c r="O103" t="str">
        <x:v>Paid</x:v>
      </x:c>
      <x:c r="P103" t="str">
        <x:v>Delivered</x:v>
      </x:c>
      <x:c r="Q103" t="str">
        <x:f>IF(COUNTIF($A$2:$A$241,A103)&gt;1,"DUPLICATE","")</x:f>
      </x:c>
      <x:c r="R103" t="str">
        <x:f>IF(OR(A103="",B103="",C103="",D103="",E103=""),"MISSING","")</x:f>
      </x:c>
      <x:c r="S103" t="str">
        <x:f>IF(COUNTIF('Product Master'!$A$2:$A$9,D103)=0,"INVALID SKU","")</x:f>
      </x:c>
      <x:c r="T103" s="24" t="n">
        <x:f>N103-M103</x:f>
        <x:v>0</x:v>
      </x:c>
      <x:c r="U103" t="str">
        <x:f>IF(AND(K103&gt;0,O103="Paid"),"REFUND STATUS","")</x:f>
      </x:c>
      <x:c r="V103" t="n">
        <x:f>IF(Q103&lt;&gt;"",1,0)+IF(R103&lt;&gt;"",1,0)+IF(S103&lt;&gt;"",1,0)+IF(ABS(T103)&gt;0.01,1,0)+IF(U103&lt;&gt;"",1,0)</x:f>
        <x:v>0</x:v>
      </x:c>
      <x:c r="W103" t="str">
        <x:f>IF(V103=0,"PASS","REVIEW")</x:f>
        <x:v>PASS</x:v>
      </x:c>
    </x:row>
    <x:row r="104">
      <x:c r="A104" t="str">
        <x:v>ORD-5103</x:v>
      </x:c>
      <x:c r="B104" s="26" t="n">
        <x:v>46124</x:v>
      </x:c>
      <x:c r="C104" t="str">
        <x:v>C-1035</x:v>
      </x:c>
      <x:c r="D104" t="str">
        <x:v>SKU-107</x:v>
      </x:c>
      <x:c r="E104" t="n">
        <x:v>1</x:v>
      </x:c>
      <x:c r="F104" s="24" t="n">
        <x:v>9</x:v>
      </x:c>
      <x:c r="G104" s="24" t="n">
        <x:v>9</x:v>
      </x:c>
      <x:c r="H104" s="24" t="n">
        <x:v>0</x:v>
      </x:c>
      <x:c r="I104" s="24" t="n">
        <x:v>0.54</x:v>
      </x:c>
      <x:c r="J104" s="24" t="n">
        <x:v>6.95</x:v>
      </x:c>
      <x:c r="K104" s="24" t="n">
        <x:v>0</x:v>
      </x:c>
      <x:c r="L104" s="24" t="n">
        <x:v>0.78</x:v>
      </x:c>
      <x:c r="M104" s="24" t="n">
        <x:v>15.71</x:v>
      </x:c>
      <x:c r="N104" s="24" t="n">
        <x:v>15.71</x:v>
      </x:c>
      <x:c r="O104" t="str">
        <x:v>Paid</x:v>
      </x:c>
      <x:c r="P104" t="str">
        <x:v>Delivered</x:v>
      </x:c>
      <x:c r="Q104" t="str">
        <x:f>IF(COUNTIF($A$2:$A$241,A104)&gt;1,"DUPLICATE","")</x:f>
      </x:c>
      <x:c r="R104" t="str">
        <x:f>IF(OR(A104="",B104="",C104="",D104="",E104=""),"MISSING","")</x:f>
      </x:c>
      <x:c r="S104" t="str">
        <x:f>IF(COUNTIF('Product Master'!$A$2:$A$9,D104)=0,"INVALID SKU","")</x:f>
      </x:c>
      <x:c r="T104" s="24" t="n">
        <x:f>N104-M104</x:f>
        <x:v>0</x:v>
      </x:c>
      <x:c r="U104" t="str">
        <x:f>IF(AND(K104&gt;0,O104="Paid"),"REFUND STATUS","")</x:f>
      </x:c>
      <x:c r="V104" t="n">
        <x:f>IF(Q104&lt;&gt;"",1,0)+IF(R104&lt;&gt;"",1,0)+IF(S104&lt;&gt;"",1,0)+IF(ABS(T104)&gt;0.01,1,0)+IF(U104&lt;&gt;"",1,0)</x:f>
        <x:v>0</x:v>
      </x:c>
      <x:c r="W104" t="str">
        <x:f>IF(V104=0,"PASS","REVIEW")</x:f>
        <x:v>PASS</x:v>
      </x:c>
    </x:row>
    <x:row r="105">
      <x:c r="A105" t="str">
        <x:v>ORD-5104</x:v>
      </x:c>
      <x:c r="B105" s="26" t="n">
        <x:v>46125</x:v>
      </x:c>
      <x:c r="C105" t="str">
        <x:v>C-1036</x:v>
      </x:c>
      <x:c r="D105" t="str">
        <x:v>SKU-108</x:v>
      </x:c>
      <x:c r="E105" t="n">
        <x:v>2</x:v>
      </x:c>
      <x:c r="F105" s="24" t="n">
        <x:v>42</x:v>
      </x:c>
      <x:c r="G105" s="24" t="n">
        <x:v>84</x:v>
      </x:c>
      <x:c r="H105" s="24" t="n">
        <x:v>0</x:v>
      </x:c>
      <x:c r="I105" s="24" t="n">
        <x:v>5.04</x:v>
      </x:c>
      <x:c r="J105" s="24" t="n">
        <x:v>0</x:v>
      </x:c>
      <x:c r="K105" s="24" t="n">
        <x:v>0</x:v>
      </x:c>
      <x:c r="L105" s="24" t="n">
        <x:v>2.88</x:v>
      </x:c>
      <x:c r="M105" s="24" t="n">
        <x:v>86.16</x:v>
      </x:c>
      <x:c r="N105" s="24" t="n">
        <x:v>86.16</x:v>
      </x:c>
      <x:c r="O105" t="str">
        <x:v>Paid</x:v>
      </x:c>
      <x:c r="P105" t="str">
        <x:v>Delivered</x:v>
      </x:c>
      <x:c r="Q105" t="str">
        <x:f>IF(COUNTIF($A$2:$A$241,A105)&gt;1,"DUPLICATE","")</x:f>
      </x:c>
      <x:c r="R105" t="str">
        <x:f>IF(OR(A105="",B105="",C105="",D105="",E105=""),"MISSING","")</x:f>
      </x:c>
      <x:c r="S105" t="str">
        <x:f>IF(COUNTIF('Product Master'!$A$2:$A$9,D105)=0,"INVALID SKU","")</x:f>
      </x:c>
      <x:c r="T105" s="24" t="n">
        <x:f>N105-M105</x:f>
        <x:v>0</x:v>
      </x:c>
      <x:c r="U105" t="str">
        <x:f>IF(AND(K105&gt;0,O105="Paid"),"REFUND STATUS","")</x:f>
      </x:c>
      <x:c r="V105" t="n">
        <x:f>IF(Q105&lt;&gt;"",1,0)+IF(R105&lt;&gt;"",1,0)+IF(S105&lt;&gt;"",1,0)+IF(ABS(T105)&gt;0.01,1,0)+IF(U105&lt;&gt;"",1,0)</x:f>
        <x:v>0</x:v>
      </x:c>
      <x:c r="W105" t="str">
        <x:f>IF(V105=0,"PASS","REVIEW")</x:f>
        <x:v>PASS</x:v>
      </x:c>
    </x:row>
    <x:row r="106">
      <x:c r="A106" t="str">
        <x:v>ORD-5105</x:v>
      </x:c>
      <x:c r="B106" s="26" t="n">
        <x:v>46126</x:v>
      </x:c>
      <x:c r="C106" t="str">
        <x:v>C-1037</x:v>
      </x:c>
      <x:c r="D106" t="str">
        <x:v>SKU-101</x:v>
      </x:c>
      <x:c r="E106" t="n">
        <x:v>3</x:v>
      </x:c>
      <x:c r="F106" s="24" t="n">
        <x:v>24</x:v>
      </x:c>
      <x:c r="G106" s="24" t="n">
        <x:v>72</x:v>
      </x:c>
      <x:c r="H106" s="24" t="n">
        <x:v>0</x:v>
      </x:c>
      <x:c r="I106" s="24" t="n">
        <x:v>4.32</x:v>
      </x:c>
      <x:c r="J106" s="24" t="n">
        <x:v>0</x:v>
      </x:c>
      <x:c r="K106" s="24" t="n">
        <x:v>0</x:v>
      </x:c>
      <x:c r="L106" s="24" t="n">
        <x:v>2.51</x:v>
      </x:c>
      <x:c r="M106" s="24" t="n">
        <x:v>73.81</x:v>
      </x:c>
      <x:c r="N106" s="24" t="n">
        <x:v>73.81</x:v>
      </x:c>
      <x:c r="O106" t="str">
        <x:v>Paid</x:v>
      </x:c>
      <x:c r="P106" t="str">
        <x:v>Delivered</x:v>
      </x:c>
      <x:c r="Q106" t="str">
        <x:f>IF(COUNTIF($A$2:$A$241,A106)&gt;1,"DUPLICATE","")</x:f>
      </x:c>
      <x:c r="R106" t="str">
        <x:f>IF(OR(A106="",B106="",C106="",D106="",E106=""),"MISSING","")</x:f>
      </x:c>
      <x:c r="S106" t="str">
        <x:f>IF(COUNTIF('Product Master'!$A$2:$A$9,D106)=0,"INVALID SKU","")</x:f>
      </x:c>
      <x:c r="T106" s="24" t="n">
        <x:f>N106-M106</x:f>
        <x:v>0</x:v>
      </x:c>
      <x:c r="U106" t="str">
        <x:f>IF(AND(K106&gt;0,O106="Paid"),"REFUND STATUS","")</x:f>
      </x:c>
      <x:c r="V106" t="n">
        <x:f>IF(Q106&lt;&gt;"",1,0)+IF(R106&lt;&gt;"",1,0)+IF(S106&lt;&gt;"",1,0)+IF(ABS(T106)&gt;0.01,1,0)+IF(U106&lt;&gt;"",1,0)</x:f>
        <x:v>0</x:v>
      </x:c>
      <x:c r="W106" t="str">
        <x:f>IF(V106=0,"PASS","REVIEW")</x:f>
        <x:v>PASS</x:v>
      </x:c>
    </x:row>
    <x:row r="107">
      <x:c r="A107" t="str">
        <x:v>ORD-5106</x:v>
      </x:c>
      <x:c r="B107" s="26" t="n">
        <x:v>46127</x:v>
      </x:c>
      <x:c r="C107" t="str">
        <x:v>C-1038</x:v>
      </x:c>
      <x:c r="D107" t="str">
        <x:v>SKU-102</x:v>
      </x:c>
      <x:c r="E107" t="n">
        <x:v>1</x:v>
      </x:c>
      <x:c r="F107" s="24" t="n">
        <x:v>28</x:v>
      </x:c>
      <x:c r="G107" s="24" t="n">
        <x:v>28</x:v>
      </x:c>
      <x:c r="H107" s="24" t="n">
        <x:v>0</x:v>
      </x:c>
      <x:c r="I107" s="24" t="n">
        <x:v>1.68</x:v>
      </x:c>
      <x:c r="J107" s="24" t="n">
        <x:v>6.95</x:v>
      </x:c>
      <x:c r="K107" s="24" t="n">
        <x:v>0</x:v>
      </x:c>
      <x:c r="L107" s="24" t="n">
        <x:v>1.36</x:v>
      </x:c>
      <x:c r="M107" s="24" t="n">
        <x:v>35.27</x:v>
      </x:c>
      <x:c r="N107" s="24" t="n">
        <x:v>35.27</x:v>
      </x:c>
      <x:c r="O107" t="str">
        <x:v>Paid</x:v>
      </x:c>
      <x:c r="P107" t="str">
        <x:v>Delivered</x:v>
      </x:c>
      <x:c r="Q107" t="str">
        <x:f>IF(COUNTIF($A$2:$A$241,A107)&gt;1,"DUPLICATE","")</x:f>
      </x:c>
      <x:c r="R107" t="str">
        <x:f>IF(OR(A107="",B107="",C107="",D107="",E107=""),"MISSING","")</x:f>
      </x:c>
      <x:c r="S107" t="str">
        <x:f>IF(COUNTIF('Product Master'!$A$2:$A$9,D107)=0,"INVALID SKU","")</x:f>
      </x:c>
      <x:c r="T107" s="24" t="n">
        <x:f>N107-M107</x:f>
        <x:v>0</x:v>
      </x:c>
      <x:c r="U107" t="str">
        <x:f>IF(AND(K107&gt;0,O107="Paid"),"REFUND STATUS","")</x:f>
      </x:c>
      <x:c r="V107" t="n">
        <x:f>IF(Q107&lt;&gt;"",1,0)+IF(R107&lt;&gt;"",1,0)+IF(S107&lt;&gt;"",1,0)+IF(ABS(T107)&gt;0.01,1,0)+IF(U107&lt;&gt;"",1,0)</x:f>
        <x:v>0</x:v>
      </x:c>
      <x:c r="W107" t="str">
        <x:f>IF(V107=0,"PASS","REVIEW")</x:f>
        <x:v>PASS</x:v>
      </x:c>
    </x:row>
    <x:row r="108">
      <x:c r="A108" t="str">
        <x:v>ORD-5107</x:v>
      </x:c>
      <x:c r="B108" s="26" t="n">
        <x:v>46128</x:v>
      </x:c>
      <x:c r="C108" t="str">
        <x:v>C-1039</x:v>
      </x:c>
      <x:c r="D108" t="str">
        <x:v>SKU-103</x:v>
      </x:c>
      <x:c r="E108" t="n">
        <x:v>2</x:v>
      </x:c>
      <x:c r="F108" s="24" t="n">
        <x:v>16</x:v>
      </x:c>
      <x:c r="G108" s="24" t="n">
        <x:v>32</x:v>
      </x:c>
      <x:c r="H108" s="24" t="n">
        <x:v>0</x:v>
      </x:c>
      <x:c r="I108" s="24" t="n">
        <x:v>1.92</x:v>
      </x:c>
      <x:c r="J108" s="24" t="n">
        <x:v>6.95</x:v>
      </x:c>
      <x:c r="K108" s="24" t="n">
        <x:v>0</x:v>
      </x:c>
      <x:c r="L108" s="24" t="n">
        <x:v>1.49</x:v>
      </x:c>
      <x:c r="M108" s="24" t="n">
        <x:v>39.38</x:v>
      </x:c>
      <x:c r="N108" s="24" t="n">
        <x:v>39.38</x:v>
      </x:c>
      <x:c r="O108" t="str">
        <x:v>Paid</x:v>
      </x:c>
      <x:c r="P108" t="str">
        <x:v>Delivered</x:v>
      </x:c>
      <x:c r="Q108" t="str">
        <x:f>IF(COUNTIF($A$2:$A$241,A108)&gt;1,"DUPLICATE","")</x:f>
      </x:c>
      <x:c r="R108" t="str">
        <x:f>IF(OR(A108="",B108="",C108="",D108="",E108=""),"MISSING","")</x:f>
      </x:c>
      <x:c r="S108" t="str">
        <x:f>IF(COUNTIF('Product Master'!$A$2:$A$9,D108)=0,"INVALID SKU","")</x:f>
      </x:c>
      <x:c r="T108" s="24" t="n">
        <x:f>N108-M108</x:f>
        <x:v>0</x:v>
      </x:c>
      <x:c r="U108" t="str">
        <x:f>IF(AND(K108&gt;0,O108="Paid"),"REFUND STATUS","")</x:f>
      </x:c>
      <x:c r="V108" t="n">
        <x:f>IF(Q108&lt;&gt;"",1,0)+IF(R108&lt;&gt;"",1,0)+IF(S108&lt;&gt;"",1,0)+IF(ABS(T108)&gt;0.01,1,0)+IF(U108&lt;&gt;"",1,0)</x:f>
        <x:v>0</x:v>
      </x:c>
      <x:c r="W108" t="str">
        <x:f>IF(V108=0,"PASS","REVIEW")</x:f>
        <x:v>PASS</x:v>
      </x:c>
    </x:row>
    <x:row r="109">
      <x:c r="A109" t="str">
        <x:v>ORD-5108</x:v>
      </x:c>
      <x:c r="B109" s="26" t="n">
        <x:v>46129</x:v>
      </x:c>
      <x:c r="C109" t="str">
        <x:v>C-1040</x:v>
      </x:c>
      <x:c r="D109" t="str">
        <x:v>SKU-104</x:v>
      </x:c>
      <x:c r="E109" t="n">
        <x:v>3</x:v>
      </x:c>
      <x:c r="F109" s="24" t="n">
        <x:v>58</x:v>
      </x:c>
      <x:c r="G109" s="24" t="n">
        <x:v>174</x:v>
      </x:c>
      <x:c r="H109" s="24" t="n">
        <x:v>0</x:v>
      </x:c>
      <x:c r="I109" s="24" t="n">
        <x:v>10.44</x:v>
      </x:c>
      <x:c r="J109" s="24" t="n">
        <x:v>0</x:v>
      </x:c>
      <x:c r="K109" s="24" t="n">
        <x:v>0</x:v>
      </x:c>
      <x:c r="L109" s="24" t="n">
        <x:v>5.65</x:v>
      </x:c>
      <x:c r="M109" s="24" t="n">
        <x:v>178.79</x:v>
      </x:c>
      <x:c r="N109" s="24" t="n">
        <x:v>178.79</x:v>
      </x:c>
      <x:c r="O109" t="str">
        <x:v>Paid</x:v>
      </x:c>
      <x:c r="P109" t="str">
        <x:v>Delivered</x:v>
      </x:c>
      <x:c r="Q109" t="str">
        <x:f>IF(COUNTIF($A$2:$A$241,A109)&gt;1,"DUPLICATE","")</x:f>
      </x:c>
      <x:c r="R109" t="str">
        <x:f>IF(OR(A109="",B109="",C109="",D109="",E109=""),"MISSING","")</x:f>
      </x:c>
      <x:c r="S109" t="str">
        <x:f>IF(COUNTIF('Product Master'!$A$2:$A$9,D109)=0,"INVALID SKU","")</x:f>
      </x:c>
      <x:c r="T109" s="24" t="n">
        <x:f>N109-M109</x:f>
        <x:v>0</x:v>
      </x:c>
      <x:c r="U109" t="str">
        <x:f>IF(AND(K109&gt;0,O109="Paid"),"REFUND STATUS","")</x:f>
      </x:c>
      <x:c r="V109" t="n">
        <x:f>IF(Q109&lt;&gt;"",1,0)+IF(R109&lt;&gt;"",1,0)+IF(S109&lt;&gt;"",1,0)+IF(ABS(T109)&gt;0.01,1,0)+IF(U109&lt;&gt;"",1,0)</x:f>
        <x:v>0</x:v>
      </x:c>
      <x:c r="W109" t="str">
        <x:f>IF(V109=0,"PASS","REVIEW")</x:f>
        <x:v>PASS</x:v>
      </x:c>
    </x:row>
    <x:row r="110">
      <x:c r="A110" t="str">
        <x:v>ORD-5109</x:v>
      </x:c>
      <x:c r="B110" s="26" t="n">
        <x:v>46130</x:v>
      </x:c>
      <x:c r="C110" t="str">
        <x:v>C-1041</x:v>
      </x:c>
      <x:c r="D110" t="str">
        <x:v>SKU-105</x:v>
      </x:c>
      <x:c r="E110" t="n">
        <x:v>1</x:v>
      </x:c>
      <x:c r="F110" s="24" t="n">
        <x:v>32</x:v>
      </x:c>
      <x:c r="G110" s="24" t="n">
        <x:v>32</x:v>
      </x:c>
      <x:c r="H110" s="24" t="n">
        <x:v>3.2</x:v>
      </x:c>
      <x:c r="I110" s="24" t="n">
        <x:v>1.73</x:v>
      </x:c>
      <x:c r="J110" s="24" t="n">
        <x:v>6.95</x:v>
      </x:c>
      <x:c r="K110" s="24" t="n">
        <x:v>0</x:v>
      </x:c>
      <x:c r="L110" s="24" t="n">
        <x:v>1.39</x:v>
      </x:c>
      <x:c r="M110" s="24" t="n">
        <x:v>36.09</x:v>
      </x:c>
      <x:c r="N110" s="24" t="n">
        <x:v>36.09</x:v>
      </x:c>
      <x:c r="O110" t="str">
        <x:v>Paid</x:v>
      </x:c>
      <x:c r="P110" t="str">
        <x:v>Delivered</x:v>
      </x:c>
      <x:c r="Q110" t="str">
        <x:f>IF(COUNTIF($A$2:$A$241,A110)&gt;1,"DUPLICATE","")</x:f>
      </x:c>
      <x:c r="R110" t="str">
        <x:f>IF(OR(A110="",B110="",C110="",D110="",E110=""),"MISSING","")</x:f>
      </x:c>
      <x:c r="S110" t="str">
        <x:f>IF(COUNTIF('Product Master'!$A$2:$A$9,D110)=0,"INVALID SKU","")</x:f>
      </x:c>
      <x:c r="T110" s="24" t="n">
        <x:f>N110-M110</x:f>
        <x:v>0</x:v>
      </x:c>
      <x:c r="U110" t="str">
        <x:f>IF(AND(K110&gt;0,O110="Paid"),"REFUND STATUS","")</x:f>
      </x:c>
      <x:c r="V110" t="n">
        <x:f>IF(Q110&lt;&gt;"",1,0)+IF(R110&lt;&gt;"",1,0)+IF(S110&lt;&gt;"",1,0)+IF(ABS(T110)&gt;0.01,1,0)+IF(U110&lt;&gt;"",1,0)</x:f>
        <x:v>0</x:v>
      </x:c>
      <x:c r="W110" t="str">
        <x:f>IF(V110=0,"PASS","REVIEW")</x:f>
        <x:v>PASS</x:v>
      </x:c>
    </x:row>
    <x:row r="111">
      <x:c r="A111" t="str">
        <x:v>ORD-5110</x:v>
      </x:c>
      <x:c r="B111" s="26" t="n">
        <x:v>46131</x:v>
      </x:c>
      <x:c r="C111" t="str">
        <x:v>C-1042</x:v>
      </x:c>
      <x:c r="D111" t="str">
        <x:v>SKU-106</x:v>
      </x:c>
      <x:c r="E111" t="n">
        <x:v>2</x:v>
      </x:c>
      <x:c r="F111" s="24" t="n">
        <x:v>36</x:v>
      </x:c>
      <x:c r="G111" s="24" t="n">
        <x:v>72</x:v>
      </x:c>
      <x:c r="H111" s="24" t="n">
        <x:v>0</x:v>
      </x:c>
      <x:c r="I111" s="24" t="n">
        <x:v>4.32</x:v>
      </x:c>
      <x:c r="J111" s="24" t="n">
        <x:v>0</x:v>
      </x:c>
      <x:c r="K111" s="24" t="n">
        <x:v>0</x:v>
      </x:c>
      <x:c r="L111" s="24" t="n">
        <x:v>2.51</x:v>
      </x:c>
      <x:c r="M111" s="24" t="n">
        <x:v>73.81</x:v>
      </x:c>
      <x:c r="N111" s="24" t="n">
        <x:v>73.81</x:v>
      </x:c>
      <x:c r="O111" t="str">
        <x:v>Paid</x:v>
      </x:c>
      <x:c r="P111" t="str">
        <x:v>Delivered</x:v>
      </x:c>
      <x:c r="Q111" t="str">
        <x:f>IF(COUNTIF($A$2:$A$241,A111)&gt;1,"DUPLICATE","")</x:f>
      </x:c>
      <x:c r="R111" t="str">
        <x:f>IF(OR(A111="",B111="",C111="",D111="",E111=""),"MISSING","")</x:f>
      </x:c>
      <x:c r="S111" t="str">
        <x:f>IF(COUNTIF('Product Master'!$A$2:$A$9,D111)=0,"INVALID SKU","")</x:f>
      </x:c>
      <x:c r="T111" s="24" t="n">
        <x:f>N111-M111</x:f>
        <x:v>0</x:v>
      </x:c>
      <x:c r="U111" t="str">
        <x:f>IF(AND(K111&gt;0,O111="Paid"),"REFUND STATUS","")</x:f>
      </x:c>
      <x:c r="V111" t="n">
        <x:f>IF(Q111&lt;&gt;"",1,0)+IF(R111&lt;&gt;"",1,0)+IF(S111&lt;&gt;"",1,0)+IF(ABS(T111)&gt;0.01,1,0)+IF(U111&lt;&gt;"",1,0)</x:f>
        <x:v>0</x:v>
      </x:c>
      <x:c r="W111" t="str">
        <x:f>IF(V111=0,"PASS","REVIEW")</x:f>
        <x:v>PASS</x:v>
      </x:c>
    </x:row>
    <x:row r="112">
      <x:c r="A112" t="str">
        <x:v>ORD-5111</x:v>
      </x:c>
      <x:c r="B112" s="26" t="n">
        <x:v>46132</x:v>
      </x:c>
      <x:c r="C112" t="str">
        <x:v>C-1043</x:v>
      </x:c>
      <x:c r="D112" t="str">
        <x:v>SKU-107</x:v>
      </x:c>
      <x:c r="E112" t="n">
        <x:v>3</x:v>
      </x:c>
      <x:c r="F112" s="24" t="n">
        <x:v>9</x:v>
      </x:c>
      <x:c r="G112" s="24" t="n">
        <x:v>27</x:v>
      </x:c>
      <x:c r="H112" s="24" t="n">
        <x:v>0</x:v>
      </x:c>
      <x:c r="I112" s="24" t="n">
        <x:v>1.62</x:v>
      </x:c>
      <x:c r="J112" s="24" t="n">
        <x:v>6.95</x:v>
      </x:c>
      <x:c r="K112" s="24" t="n">
        <x:v>0</x:v>
      </x:c>
      <x:c r="L112" s="24" t="n">
        <x:v>1.33</x:v>
      </x:c>
      <x:c r="M112" s="24" t="n">
        <x:v>34.24</x:v>
      </x:c>
      <x:c r="N112" s="24" t="n">
        <x:v>34.24</x:v>
      </x:c>
      <x:c r="O112" t="str">
        <x:v>Paid</x:v>
      </x:c>
      <x:c r="P112" t="str">
        <x:v>Delivered</x:v>
      </x:c>
      <x:c r="Q112" t="str">
        <x:f>IF(COUNTIF($A$2:$A$241,A112)&gt;1,"DUPLICATE","")</x:f>
      </x:c>
      <x:c r="R112" t="str">
        <x:f>IF(OR(A112="",B112="",C112="",D112="",E112=""),"MISSING","")</x:f>
      </x:c>
      <x:c r="S112" t="str">
        <x:f>IF(COUNTIF('Product Master'!$A$2:$A$9,D112)=0,"INVALID SKU","")</x:f>
      </x:c>
      <x:c r="T112" s="24" t="n">
        <x:f>N112-M112</x:f>
        <x:v>0</x:v>
      </x:c>
      <x:c r="U112" t="str">
        <x:f>IF(AND(K112&gt;0,O112="Paid"),"REFUND STATUS","")</x:f>
      </x:c>
      <x:c r="V112" t="n">
        <x:f>IF(Q112&lt;&gt;"",1,0)+IF(R112&lt;&gt;"",1,0)+IF(S112&lt;&gt;"",1,0)+IF(ABS(T112)&gt;0.01,1,0)+IF(U112&lt;&gt;"",1,0)</x:f>
        <x:v>0</x:v>
      </x:c>
      <x:c r="W112" t="str">
        <x:f>IF(V112=0,"PASS","REVIEW")</x:f>
        <x:v>PASS</x:v>
      </x:c>
    </x:row>
    <x:row r="113">
      <x:c r="A113" t="str">
        <x:v>ORD-5112</x:v>
      </x:c>
      <x:c r="B113" s="26" t="n">
        <x:v>46133</x:v>
      </x:c>
      <x:c r="C113" t="str">
        <x:v>C-1044</x:v>
      </x:c>
      <x:c r="D113" t="str">
        <x:v>SKU-108</x:v>
      </x:c>
      <x:c r="E113" t="n">
        <x:v>1</x:v>
      </x:c>
      <x:c r="F113" s="24" t="n">
        <x:v>42</x:v>
      </x:c>
      <x:c r="G113" s="24" t="n">
        <x:v>42</x:v>
      </x:c>
      <x:c r="H113" s="24" t="n">
        <x:v>0</x:v>
      </x:c>
      <x:c r="I113" s="24" t="n">
        <x:v>2.52</x:v>
      </x:c>
      <x:c r="J113" s="24" t="n">
        <x:v>6.95</x:v>
      </x:c>
      <x:c r="K113" s="24" t="n">
        <x:v>0</x:v>
      </x:c>
      <x:c r="L113" s="24" t="n">
        <x:v>1.79</x:v>
      </x:c>
      <x:c r="M113" s="24" t="n">
        <x:v>49.68</x:v>
      </x:c>
      <x:c r="N113" s="24" t="n">
        <x:v>49.68</x:v>
      </x:c>
      <x:c r="O113" t="str">
        <x:v>Paid</x:v>
      </x:c>
      <x:c r="P113" t="str">
        <x:v>Delivered</x:v>
      </x:c>
      <x:c r="Q113" t="str">
        <x:f>IF(COUNTIF($A$2:$A$241,A113)&gt;1,"DUPLICATE","")</x:f>
      </x:c>
      <x:c r="R113" t="str">
        <x:f>IF(OR(A113="",B113="",C113="",D113="",E113=""),"MISSING","")</x:f>
      </x:c>
      <x:c r="S113" t="str">
        <x:f>IF(COUNTIF('Product Master'!$A$2:$A$9,D113)=0,"INVALID SKU","")</x:f>
      </x:c>
      <x:c r="T113" s="24" t="n">
        <x:f>N113-M113</x:f>
        <x:v>0</x:v>
      </x:c>
      <x:c r="U113" t="str">
        <x:f>IF(AND(K113&gt;0,O113="Paid"),"REFUND STATUS","")</x:f>
      </x:c>
      <x:c r="V113" t="n">
        <x:f>IF(Q113&lt;&gt;"",1,0)+IF(R113&lt;&gt;"",1,0)+IF(S113&lt;&gt;"",1,0)+IF(ABS(T113)&gt;0.01,1,0)+IF(U113&lt;&gt;"",1,0)</x:f>
        <x:v>0</x:v>
      </x:c>
      <x:c r="W113" t="str">
        <x:f>IF(V113=0,"PASS","REVIEW")</x:f>
        <x:v>PASS</x:v>
      </x:c>
    </x:row>
    <x:row r="114">
      <x:c r="A114" t="str">
        <x:v>ORD-5113</x:v>
      </x:c>
      <x:c r="B114" s="26" t="n">
        <x:v>46134</x:v>
      </x:c>
      <x:c r="C114" t="str">
        <x:v>C-1045</x:v>
      </x:c>
      <x:c r="D114" t="str">
        <x:v>SKU-101</x:v>
      </x:c>
      <x:c r="E114" t="n">
        <x:v>2</x:v>
      </x:c>
      <x:c r="F114" s="24" t="n">
        <x:v>24</x:v>
      </x:c>
      <x:c r="G114" s="24" t="n">
        <x:v>48</x:v>
      </x:c>
      <x:c r="H114" s="24" t="n">
        <x:v>0</x:v>
      </x:c>
      <x:c r="I114" s="24" t="n">
        <x:v>2.88</x:v>
      </x:c>
      <x:c r="J114" s="24" t="n">
        <x:v>6.95</x:v>
      </x:c>
      <x:c r="K114" s="24" t="n">
        <x:v>0</x:v>
      </x:c>
      <x:c r="L114" s="24" t="n">
        <x:v>1.98</x:v>
      </x:c>
      <x:c r="M114" s="24" t="n">
        <x:v>55.85</x:v>
      </x:c>
      <x:c r="N114" s="24" t="n">
        <x:v>55.85</x:v>
      </x:c>
      <x:c r="O114" t="str">
        <x:v>Paid</x:v>
      </x:c>
      <x:c r="P114" t="str">
        <x:v>Delivered</x:v>
      </x:c>
      <x:c r="Q114" t="str">
        <x:f>IF(COUNTIF($A$2:$A$241,A114)&gt;1,"DUPLICATE","")</x:f>
      </x:c>
      <x:c r="R114" t="str">
        <x:f>IF(OR(A114="",B114="",C114="",D114="",E114=""),"MISSING","")</x:f>
      </x:c>
      <x:c r="S114" t="str">
        <x:f>IF(COUNTIF('Product Master'!$A$2:$A$9,D114)=0,"INVALID SKU","")</x:f>
      </x:c>
      <x:c r="T114" s="24" t="n">
        <x:f>N114-M114</x:f>
        <x:v>0</x:v>
      </x:c>
      <x:c r="U114" t="str">
        <x:f>IF(AND(K114&gt;0,O114="Paid"),"REFUND STATUS","")</x:f>
      </x:c>
      <x:c r="V114" t="n">
        <x:f>IF(Q114&lt;&gt;"",1,0)+IF(R114&lt;&gt;"",1,0)+IF(S114&lt;&gt;"",1,0)+IF(ABS(T114)&gt;0.01,1,0)+IF(U114&lt;&gt;"",1,0)</x:f>
        <x:v>0</x:v>
      </x:c>
      <x:c r="W114" t="str">
        <x:f>IF(V114=0,"PASS","REVIEW")</x:f>
        <x:v>PASS</x:v>
      </x:c>
    </x:row>
    <x:row r="115">
      <x:c r="A115" t="str">
        <x:v>ORD-5114</x:v>
      </x:c>
      <x:c r="B115" s="26" t="n">
        <x:v>46135</x:v>
      </x:c>
      <x:c r="C115" t="str">
        <x:v>C-1046</x:v>
      </x:c>
      <x:c r="D115" t="str">
        <x:v>SKU-102</x:v>
      </x:c>
      <x:c r="E115" t="n">
        <x:v>3</x:v>
      </x:c>
      <x:c r="F115" s="24" t="n">
        <x:v>28</x:v>
      </x:c>
      <x:c r="G115" s="24" t="n">
        <x:v>84</x:v>
      </x:c>
      <x:c r="H115" s="24" t="n">
        <x:v>0</x:v>
      </x:c>
      <x:c r="I115" s="24" t="n">
        <x:v>5.04</x:v>
      </x:c>
      <x:c r="J115" s="24" t="n">
        <x:v>0</x:v>
      </x:c>
      <x:c r="K115" s="24" t="n">
        <x:v>0</x:v>
      </x:c>
      <x:c r="L115" s="24" t="n">
        <x:v>2.88</x:v>
      </x:c>
      <x:c r="M115" s="24" t="n">
        <x:v>86.16</x:v>
      </x:c>
      <x:c r="N115" s="24" t="n">
        <x:v>86.16</x:v>
      </x:c>
      <x:c r="O115" t="str">
        <x:v>Paid</x:v>
      </x:c>
      <x:c r="P115" t="str">
        <x:v>Delivered</x:v>
      </x:c>
      <x:c r="Q115" t="str">
        <x:f>IF(COUNTIF($A$2:$A$241,A115)&gt;1,"DUPLICATE","")</x:f>
      </x:c>
      <x:c r="R115" t="str">
        <x:f>IF(OR(A115="",B115="",C115="",D115="",E115=""),"MISSING","")</x:f>
      </x:c>
      <x:c r="S115" t="str">
        <x:f>IF(COUNTIF('Product Master'!$A$2:$A$9,D115)=0,"INVALID SKU","")</x:f>
      </x:c>
      <x:c r="T115" s="24" t="n">
        <x:f>N115-M115</x:f>
        <x:v>0</x:v>
      </x:c>
      <x:c r="U115" t="str">
        <x:f>IF(AND(K115&gt;0,O115="Paid"),"REFUND STATUS","")</x:f>
      </x:c>
      <x:c r="V115" t="n">
        <x:f>IF(Q115&lt;&gt;"",1,0)+IF(R115&lt;&gt;"",1,0)+IF(S115&lt;&gt;"",1,0)+IF(ABS(T115)&gt;0.01,1,0)+IF(U115&lt;&gt;"",1,0)</x:f>
        <x:v>0</x:v>
      </x:c>
      <x:c r="W115" t="str">
        <x:f>IF(V115=0,"PASS","REVIEW")</x:f>
        <x:v>PASS</x:v>
      </x:c>
    </x:row>
    <x:row r="116">
      <x:c r="A116" t="str">
        <x:v>ORD-5115</x:v>
      </x:c>
      <x:c r="B116" s="26" t="n">
        <x:v>46136</x:v>
      </x:c>
      <x:c r="C116" t="str">
        <x:v>C-1047</x:v>
      </x:c>
      <x:c r="D116" t="str">
        <x:v>SKU-103</x:v>
      </x:c>
      <x:c r="E116" t="n">
        <x:v>1</x:v>
      </x:c>
      <x:c r="F116" s="24" t="n">
        <x:v>16</x:v>
      </x:c>
      <x:c r="G116" s="24" t="n">
        <x:v>16</x:v>
      </x:c>
      <x:c r="H116" s="24" t="n">
        <x:v>0</x:v>
      </x:c>
      <x:c r="I116" s="24" t="n">
        <x:v>0.96</x:v>
      </x:c>
      <x:c r="J116" s="24" t="n">
        <x:v>6.95</x:v>
      </x:c>
      <x:c r="K116" s="24" t="n">
        <x:v>0</x:v>
      </x:c>
      <x:c r="L116" s="24" t="n">
        <x:v>0.99</x:v>
      </x:c>
      <x:c r="M116" s="24" t="n">
        <x:v>22.92</x:v>
      </x:c>
      <x:c r="N116" s="24" t="n">
        <x:v>22.92</x:v>
      </x:c>
      <x:c r="O116" t="str">
        <x:v>Paid</x:v>
      </x:c>
      <x:c r="P116" t="str">
        <x:v>Delivered</x:v>
      </x:c>
      <x:c r="Q116" t="str">
        <x:f>IF(COUNTIF($A$2:$A$241,A116)&gt;1,"DUPLICATE","")</x:f>
      </x:c>
      <x:c r="R116" t="str">
        <x:f>IF(OR(A116="",B116="",C116="",D116="",E116=""),"MISSING","")</x:f>
      </x:c>
      <x:c r="S116" t="str">
        <x:f>IF(COUNTIF('Product Master'!$A$2:$A$9,D116)=0,"INVALID SKU","")</x:f>
      </x:c>
      <x:c r="T116" s="24" t="n">
        <x:f>N116-M116</x:f>
        <x:v>0</x:v>
      </x:c>
      <x:c r="U116" t="str">
        <x:f>IF(AND(K116&gt;0,O116="Paid"),"REFUND STATUS","")</x:f>
      </x:c>
      <x:c r="V116" t="n">
        <x:f>IF(Q116&lt;&gt;"",1,0)+IF(R116&lt;&gt;"",1,0)+IF(S116&lt;&gt;"",1,0)+IF(ABS(T116)&gt;0.01,1,0)+IF(U116&lt;&gt;"",1,0)</x:f>
        <x:v>0</x:v>
      </x:c>
      <x:c r="W116" t="str">
        <x:f>IF(V116=0,"PASS","REVIEW")</x:f>
        <x:v>PASS</x:v>
      </x:c>
    </x:row>
    <x:row r="117">
      <x:c r="A117" t="str">
        <x:v>ORD-5116</x:v>
      </x:c>
      <x:c r="B117" s="26" t="n">
        <x:v>46137</x:v>
      </x:c>
      <x:c r="C117" t="str">
        <x:v>C-1048</x:v>
      </x:c>
      <x:c r="D117" t="str">
        <x:v>SKU-104</x:v>
      </x:c>
      <x:c r="E117" t="n">
        <x:v>2</x:v>
      </x:c>
      <x:c r="F117" s="24" t="n">
        <x:v>58</x:v>
      </x:c>
      <x:c r="G117" s="24" t="n">
        <x:v>116</x:v>
      </x:c>
      <x:c r="H117" s="24" t="n">
        <x:v>0</x:v>
      </x:c>
      <x:c r="I117" s="24" t="n">
        <x:v>6.96</x:v>
      </x:c>
      <x:c r="J117" s="24" t="n">
        <x:v>0</x:v>
      </x:c>
      <x:c r="K117" s="24" t="n">
        <x:v>0</x:v>
      </x:c>
      <x:c r="L117" s="24" t="n">
        <x:v>3.87</x:v>
      </x:c>
      <x:c r="M117" s="24" t="n">
        <x:v>119.09</x:v>
      </x:c>
      <x:c r="N117" s="24" t="n">
        <x:v>119.09</x:v>
      </x:c>
      <x:c r="O117" t="str">
        <x:v>Paid</x:v>
      </x:c>
      <x:c r="P117" t="str">
        <x:v>Delivered</x:v>
      </x:c>
      <x:c r="Q117" t="str">
        <x:f>IF(COUNTIF($A$2:$A$241,A117)&gt;1,"DUPLICATE","")</x:f>
      </x:c>
      <x:c r="R117" t="str">
        <x:f>IF(OR(A117="",B117="",C117="",D117="",E117=""),"MISSING","")</x:f>
      </x:c>
      <x:c r="S117" t="str">
        <x:f>IF(COUNTIF('Product Master'!$A$2:$A$9,D117)=0,"INVALID SKU","")</x:f>
      </x:c>
      <x:c r="T117" s="24" t="n">
        <x:f>N117-M117</x:f>
        <x:v>0</x:v>
      </x:c>
      <x:c r="U117" t="str">
        <x:f>IF(AND(K117&gt;0,O117="Paid"),"REFUND STATUS","")</x:f>
      </x:c>
      <x:c r="V117" t="n">
        <x:f>IF(Q117&lt;&gt;"",1,0)+IF(R117&lt;&gt;"",1,0)+IF(S117&lt;&gt;"",1,0)+IF(ABS(T117)&gt;0.01,1,0)+IF(U117&lt;&gt;"",1,0)</x:f>
        <x:v>0</x:v>
      </x:c>
      <x:c r="W117" t="str">
        <x:f>IF(V117=0,"PASS","REVIEW")</x:f>
        <x:v>PASS</x:v>
      </x:c>
    </x:row>
    <x:row r="118">
      <x:c r="A118" t="str">
        <x:v>ORD-5117</x:v>
      </x:c>
      <x:c r="B118" s="26" t="n">
        <x:v>46138</x:v>
      </x:c>
      <x:c r="C118" t="str">
        <x:v>C-1049</x:v>
      </x:c>
      <x:c r="D118" t="str">
        <x:v>SKU-105</x:v>
      </x:c>
      <x:c r="E118" t="n">
        <x:v>3</x:v>
      </x:c>
      <x:c r="F118" s="24" t="n">
        <x:v>32</x:v>
      </x:c>
      <x:c r="G118" s="24" t="n">
        <x:v>96</x:v>
      </x:c>
      <x:c r="H118" s="24" t="n">
        <x:v>0</x:v>
      </x:c>
      <x:c r="I118" s="24" t="n">
        <x:v>5.76</x:v>
      </x:c>
      <x:c r="J118" s="24" t="n">
        <x:v>0</x:v>
      </x:c>
      <x:c r="K118" s="24" t="n">
        <x:v>0</x:v>
      </x:c>
      <x:c r="L118" s="24" t="n">
        <x:v>3.25</x:v>
      </x:c>
      <x:c r="M118" s="24" t="n">
        <x:v>98.51</x:v>
      </x:c>
      <x:c r="N118" s="24" t="n">
        <x:v>98.51</x:v>
      </x:c>
      <x:c r="O118" t="str">
        <x:v>Paid</x:v>
      </x:c>
      <x:c r="P118" t="str">
        <x:v>Delivered</x:v>
      </x:c>
      <x:c r="Q118" t="str">
        <x:f>IF(COUNTIF($A$2:$A$241,A118)&gt;1,"DUPLICATE","")</x:f>
      </x:c>
      <x:c r="R118" t="str">
        <x:f>IF(OR(A118="",B118="",C118="",D118="",E118=""),"MISSING","")</x:f>
      </x:c>
      <x:c r="S118" t="str">
        <x:f>IF(COUNTIF('Product Master'!$A$2:$A$9,D118)=0,"INVALID SKU","")</x:f>
      </x:c>
      <x:c r="T118" s="24" t="n">
        <x:f>N118-M118</x:f>
        <x:v>0</x:v>
      </x:c>
      <x:c r="U118" t="str">
        <x:f>IF(AND(K118&gt;0,O118="Paid"),"REFUND STATUS","")</x:f>
      </x:c>
      <x:c r="V118" t="n">
        <x:f>IF(Q118&lt;&gt;"",1,0)+IF(R118&lt;&gt;"",1,0)+IF(S118&lt;&gt;"",1,0)+IF(ABS(T118)&gt;0.01,1,0)+IF(U118&lt;&gt;"",1,0)</x:f>
        <x:v>0</x:v>
      </x:c>
      <x:c r="W118" t="str">
        <x:f>IF(V118=0,"PASS","REVIEW")</x:f>
        <x:v>PASS</x:v>
      </x:c>
    </x:row>
    <x:row r="119">
      <x:c r="A119" t="str">
        <x:v>ORD-5118</x:v>
      </x:c>
      <x:c r="B119" s="26" t="n">
        <x:v>46139</x:v>
      </x:c>
      <x:c r="C119" t="str">
        <x:v>C-1050</x:v>
      </x:c>
      <x:c r="D119" t="str">
        <x:v>SKU-106</x:v>
      </x:c>
      <x:c r="E119" t="n">
        <x:v>1</x:v>
      </x:c>
      <x:c r="F119" s="24" t="n">
        <x:v>36</x:v>
      </x:c>
      <x:c r="G119" s="24" t="n">
        <x:v>36</x:v>
      </x:c>
      <x:c r="H119" s="24" t="n">
        <x:v>3.6</x:v>
      </x:c>
      <x:c r="I119" s="24" t="n">
        <x:v>1.94</x:v>
      </x:c>
      <x:c r="J119" s="24" t="n">
        <x:v>6.95</x:v>
      </x:c>
      <x:c r="K119" s="24" t="n">
        <x:v>0</x:v>
      </x:c>
      <x:c r="L119" s="24" t="n">
        <x:v>1.5</x:v>
      </x:c>
      <x:c r="M119" s="24" t="n">
        <x:v>39.79</x:v>
      </x:c>
      <x:c r="N119" s="24" t="n">
        <x:v>39.79</x:v>
      </x:c>
      <x:c r="O119" t="str">
        <x:v>Paid</x:v>
      </x:c>
      <x:c r="P119" t="str">
        <x:v>Delivered</x:v>
      </x:c>
      <x:c r="Q119" t="str">
        <x:f>IF(COUNTIF($A$2:$A$241,A119)&gt;1,"DUPLICATE","")</x:f>
      </x:c>
      <x:c r="R119" t="str">
        <x:f>IF(OR(A119="",B119="",C119="",D119="",E119=""),"MISSING","")</x:f>
      </x:c>
      <x:c r="S119" t="str">
        <x:f>IF(COUNTIF('Product Master'!$A$2:$A$9,D119)=0,"INVALID SKU","")</x:f>
      </x:c>
      <x:c r="T119" s="24" t="n">
        <x:f>N119-M119</x:f>
        <x:v>0</x:v>
      </x:c>
      <x:c r="U119" t="str">
        <x:f>IF(AND(K119&gt;0,O119="Paid"),"REFUND STATUS","")</x:f>
      </x:c>
      <x:c r="V119" t="n">
        <x:f>IF(Q119&lt;&gt;"",1,0)+IF(R119&lt;&gt;"",1,0)+IF(S119&lt;&gt;"",1,0)+IF(ABS(T119)&gt;0.01,1,0)+IF(U119&lt;&gt;"",1,0)</x:f>
        <x:v>0</x:v>
      </x:c>
      <x:c r="W119" t="str">
        <x:f>IF(V119=0,"PASS","REVIEW")</x:f>
        <x:v>PASS</x:v>
      </x:c>
    </x:row>
    <x:row r="120">
      <x:c r="A120" t="str">
        <x:v>ORD-5119</x:v>
      </x:c>
      <x:c r="B120" s="26" t="n">
        <x:v>46140</x:v>
      </x:c>
      <x:c r="C120" t="str">
        <x:v>C-1051</x:v>
      </x:c>
      <x:c r="D120" t="str">
        <x:v>SKU-107</x:v>
      </x:c>
      <x:c r="E120" t="n">
        <x:v>2</x:v>
      </x:c>
      <x:c r="F120" s="24" t="n">
        <x:v>9</x:v>
      </x:c>
      <x:c r="G120" s="24" t="n">
        <x:v>18</x:v>
      </x:c>
      <x:c r="H120" s="24" t="n">
        <x:v>0</x:v>
      </x:c>
      <x:c r="I120" s="24" t="n">
        <x:v>1.08</x:v>
      </x:c>
      <x:c r="J120" s="24" t="n">
        <x:v>6.95</x:v>
      </x:c>
      <x:c r="K120" s="24" t="n">
        <x:v>0</x:v>
      </x:c>
      <x:c r="L120" s="24" t="n">
        <x:v>1.05</x:v>
      </x:c>
      <x:c r="M120" s="24" t="n">
        <x:v>24.98</x:v>
      </x:c>
      <x:c r="N120" s="24" t="n">
        <x:v>24.98</x:v>
      </x:c>
      <x:c r="O120" t="str">
        <x:v>Paid</x:v>
      </x:c>
      <x:c r="P120" t="str">
        <x:v>Delivered</x:v>
      </x:c>
      <x:c r="Q120" t="str">
        <x:f>IF(COUNTIF($A$2:$A$241,A120)&gt;1,"DUPLICATE","")</x:f>
      </x:c>
      <x:c r="R120" t="str">
        <x:f>IF(OR(A120="",B120="",C120="",D120="",E120=""),"MISSING","")</x:f>
      </x:c>
      <x:c r="S120" t="str">
        <x:f>IF(COUNTIF('Product Master'!$A$2:$A$9,D120)=0,"INVALID SKU","")</x:f>
      </x:c>
      <x:c r="T120" s="24" t="n">
        <x:f>N120-M120</x:f>
        <x:v>0</x:v>
      </x:c>
      <x:c r="U120" t="str">
        <x:f>IF(AND(K120&gt;0,O120="Paid"),"REFUND STATUS","")</x:f>
      </x:c>
      <x:c r="V120" t="n">
        <x:f>IF(Q120&lt;&gt;"",1,0)+IF(R120&lt;&gt;"",1,0)+IF(S120&lt;&gt;"",1,0)+IF(ABS(T120)&gt;0.01,1,0)+IF(U120&lt;&gt;"",1,0)</x:f>
        <x:v>0</x:v>
      </x:c>
      <x:c r="W120" t="str">
        <x:f>IF(V120=0,"PASS","REVIEW")</x:f>
        <x:v>PASS</x:v>
      </x:c>
    </x:row>
    <x:row r="121">
      <x:c r="A121" t="str">
        <x:v>ORD-5120</x:v>
      </x:c>
      <x:c r="B121" s="26" t="n">
        <x:v>46141</x:v>
      </x:c>
      <x:c r="C121" t="str">
        <x:v>C-1052</x:v>
      </x:c>
      <x:c r="D121" t="str">
        <x:v>SKU-108</x:v>
      </x:c>
      <x:c r="E121" t="n">
        <x:v>3</x:v>
      </x:c>
      <x:c r="F121" s="24" t="n">
        <x:v>42</x:v>
      </x:c>
      <x:c r="G121" s="24" t="n">
        <x:v>126</x:v>
      </x:c>
      <x:c r="H121" s="24" t="n">
        <x:v>0</x:v>
      </x:c>
      <x:c r="I121" s="24" t="n">
        <x:v>7.56</x:v>
      </x:c>
      <x:c r="J121" s="24" t="n">
        <x:v>0</x:v>
      </x:c>
      <x:c r="K121" s="24" t="n">
        <x:v>133.56</x:v>
      </x:c>
      <x:c r="L121" s="24" t="n">
        <x:v>0</x:v>
      </x:c>
      <x:c r="M121" s="24" t="n">
        <x:v>0</x:v>
      </x:c>
      <x:c r="N121" s="24" t="n">
        <x:v>0</x:v>
      </x:c>
      <x:c r="O121" t="str">
        <x:v>Refunded</x:v>
      </x:c>
      <x:c r="P121" t="str">
        <x:v>Delivered</x:v>
      </x:c>
      <x:c r="Q121" t="str">
        <x:f>IF(COUNTIF($A$2:$A$241,A121)&gt;1,"DUPLICATE","")</x:f>
      </x:c>
      <x:c r="R121" t="str">
        <x:f>IF(OR(A121="",B121="",C121="",D121="",E121=""),"MISSING","")</x:f>
      </x:c>
      <x:c r="S121" t="str">
        <x:f>IF(COUNTIF('Product Master'!$A$2:$A$9,D121)=0,"INVALID SKU","")</x:f>
      </x:c>
      <x:c r="T121" s="24" t="n">
        <x:f>N121-M121</x:f>
        <x:v>0</x:v>
      </x:c>
      <x:c r="U121" t="str">
        <x:f>IF(AND(K121&gt;0,O121="Paid"),"REFUND STATUS","")</x:f>
      </x:c>
      <x:c r="V121" t="n">
        <x:f>IF(Q121&lt;&gt;"",1,0)+IF(R121&lt;&gt;"",1,0)+IF(S121&lt;&gt;"",1,0)+IF(ABS(T121)&gt;0.01,1,0)+IF(U121&lt;&gt;"",1,0)</x:f>
        <x:v>0</x:v>
      </x:c>
      <x:c r="W121" t="str">
        <x:f>IF(V121=0,"PASS","REVIEW")</x:f>
        <x:v>PASS</x:v>
      </x:c>
    </x:row>
    <x:row r="122">
      <x:c r="A122" t="str">
        <x:v>ORD-5121</x:v>
      </x:c>
      <x:c r="B122" s="26" t="n">
        <x:v>46142</x:v>
      </x:c>
      <x:c r="C122" t="str">
        <x:v>C-1053</x:v>
      </x:c>
      <x:c r="D122" t="str">
        <x:v>SKU-101</x:v>
      </x:c>
      <x:c r="E122" t="n">
        <x:v>1</x:v>
      </x:c>
      <x:c r="F122" s="24" t="n">
        <x:v>24</x:v>
      </x:c>
      <x:c r="G122" s="24" t="n">
        <x:v>24</x:v>
      </x:c>
      <x:c r="H122" s="24" t="n">
        <x:v>0</x:v>
      </x:c>
      <x:c r="I122" s="24" t="n">
        <x:v>1.44</x:v>
      </x:c>
      <x:c r="J122" s="24" t="n">
        <x:v>6.95</x:v>
      </x:c>
      <x:c r="K122" s="24" t="n">
        <x:v>0</x:v>
      </x:c>
      <x:c r="L122" s="24" t="n">
        <x:v>1.24</x:v>
      </x:c>
      <x:c r="M122" s="24" t="n">
        <x:v>31.15</x:v>
      </x:c>
      <x:c r="N122" s="24" t="n">
        <x:v>31.15</x:v>
      </x:c>
      <x:c r="O122" t="str">
        <x:v>Paid</x:v>
      </x:c>
      <x:c r="P122" t="str">
        <x:v>Delivered</x:v>
      </x:c>
      <x:c r="Q122" t="str">
        <x:f>IF(COUNTIF($A$2:$A$241,A122)&gt;1,"DUPLICATE","")</x:f>
      </x:c>
      <x:c r="R122" t="str">
        <x:f>IF(OR(A122="",B122="",C122="",D122="",E122=""),"MISSING","")</x:f>
      </x:c>
      <x:c r="S122" t="str">
        <x:f>IF(COUNTIF('Product Master'!$A$2:$A$9,D122)=0,"INVALID SKU","")</x:f>
      </x:c>
      <x:c r="T122" s="24" t="n">
        <x:f>N122-M122</x:f>
        <x:v>0</x:v>
      </x:c>
      <x:c r="U122" t="str">
        <x:f>IF(AND(K122&gt;0,O122="Paid"),"REFUND STATUS","")</x:f>
      </x:c>
      <x:c r="V122" t="n">
        <x:f>IF(Q122&lt;&gt;"",1,0)+IF(R122&lt;&gt;"",1,0)+IF(S122&lt;&gt;"",1,0)+IF(ABS(T122)&gt;0.01,1,0)+IF(U122&lt;&gt;"",1,0)</x:f>
        <x:v>0</x:v>
      </x:c>
      <x:c r="W122" t="str">
        <x:f>IF(V122=0,"PASS","REVIEW")</x:f>
        <x:v>PASS</x:v>
      </x:c>
    </x:row>
    <x:row r="123">
      <x:c r="A123" t="str">
        <x:v>ORD-5122</x:v>
      </x:c>
      <x:c r="B123" s="26" t="n">
        <x:v>46143</x:v>
      </x:c>
      <x:c r="C123" t="str">
        <x:v>C-1054</x:v>
      </x:c>
      <x:c r="D123" t="str">
        <x:v>SKU-102</x:v>
      </x:c>
      <x:c r="E123" t="n">
        <x:v>2</x:v>
      </x:c>
      <x:c r="F123" s="24" t="n">
        <x:v>28</x:v>
      </x:c>
      <x:c r="G123" s="24" t="n">
        <x:v>56</x:v>
      </x:c>
      <x:c r="H123" s="24" t="n">
        <x:v>0</x:v>
      </x:c>
      <x:c r="I123" s="24" t="n">
        <x:v>3.36</x:v>
      </x:c>
      <x:c r="J123" s="24" t="n">
        <x:v>6.95</x:v>
      </x:c>
      <x:c r="K123" s="24" t="n">
        <x:v>0</x:v>
      </x:c>
      <x:c r="L123" s="24" t="n">
        <x:v>2.22</x:v>
      </x:c>
      <x:c r="M123" s="24" t="n">
        <x:v>64.09</x:v>
      </x:c>
      <x:c r="N123" s="24" t="n">
        <x:v>64.09</x:v>
      </x:c>
      <x:c r="O123" t="str">
        <x:v>Paid</x:v>
      </x:c>
      <x:c r="P123" t="str">
        <x:v>Delivered</x:v>
      </x:c>
      <x:c r="Q123" t="str">
        <x:f>IF(COUNTIF($A$2:$A$241,A123)&gt;1,"DUPLICATE","")</x:f>
      </x:c>
      <x:c r="R123" t="str">
        <x:f>IF(OR(A123="",B123="",C123="",D123="",E123=""),"MISSING","")</x:f>
      </x:c>
      <x:c r="S123" t="str">
        <x:f>IF(COUNTIF('Product Master'!$A$2:$A$9,D123)=0,"INVALID SKU","")</x:f>
      </x:c>
      <x:c r="T123" s="24" t="n">
        <x:f>N123-M123</x:f>
        <x:v>0</x:v>
      </x:c>
      <x:c r="U123" t="str">
        <x:f>IF(AND(K123&gt;0,O123="Paid"),"REFUND STATUS","")</x:f>
      </x:c>
      <x:c r="V123" t="n">
        <x:f>IF(Q123&lt;&gt;"",1,0)+IF(R123&lt;&gt;"",1,0)+IF(S123&lt;&gt;"",1,0)+IF(ABS(T123)&gt;0.01,1,0)+IF(U123&lt;&gt;"",1,0)</x:f>
        <x:v>0</x:v>
      </x:c>
      <x:c r="W123" t="str">
        <x:f>IF(V123=0,"PASS","REVIEW")</x:f>
        <x:v>PASS</x:v>
      </x:c>
    </x:row>
    <x:row r="124">
      <x:c r="A124" t="str">
        <x:v>ORD-5123</x:v>
      </x:c>
      <x:c r="B124" s="26" t="n">
        <x:v>46144</x:v>
      </x:c>
      <x:c r="C124" t="str">
        <x:v>C-1055</x:v>
      </x:c>
      <x:c r="D124" t="str">
        <x:v>SKU-103</x:v>
      </x:c>
      <x:c r="E124" t="n">
        <x:v>3</x:v>
      </x:c>
      <x:c r="F124" s="24" t="n">
        <x:v>16</x:v>
      </x:c>
      <x:c r="G124" s="24" t="n">
        <x:v>48</x:v>
      </x:c>
      <x:c r="H124" s="24" t="n">
        <x:v>0</x:v>
      </x:c>
      <x:c r="I124" s="24" t="n">
        <x:v>2.88</x:v>
      </x:c>
      <x:c r="J124" s="24" t="n">
        <x:v>6.95</x:v>
      </x:c>
      <x:c r="K124" s="24" t="n">
        <x:v>0</x:v>
      </x:c>
      <x:c r="L124" s="24" t="n">
        <x:v>1.98</x:v>
      </x:c>
      <x:c r="M124" s="24" t="n">
        <x:v>55.85</x:v>
      </x:c>
      <x:c r="N124" s="24" t="n">
        <x:v>55.85</x:v>
      </x:c>
      <x:c r="O124" t="str">
        <x:v>Paid</x:v>
      </x:c>
      <x:c r="P124" t="str">
        <x:v>Delivered</x:v>
      </x:c>
      <x:c r="Q124" t="str">
        <x:f>IF(COUNTIF($A$2:$A$241,A124)&gt;1,"DUPLICATE","")</x:f>
      </x:c>
      <x:c r="R124" t="str">
        <x:f>IF(OR(A124="",B124="",C124="",D124="",E124=""),"MISSING","")</x:f>
      </x:c>
      <x:c r="S124" t="str">
        <x:f>IF(COUNTIF('Product Master'!$A$2:$A$9,D124)=0,"INVALID SKU","")</x:f>
      </x:c>
      <x:c r="T124" s="24" t="n">
        <x:f>N124-M124</x:f>
        <x:v>0</x:v>
      </x:c>
      <x:c r="U124" t="str">
        <x:f>IF(AND(K124&gt;0,O124="Paid"),"REFUND STATUS","")</x:f>
      </x:c>
      <x:c r="V124" t="n">
        <x:f>IF(Q124&lt;&gt;"",1,0)+IF(R124&lt;&gt;"",1,0)+IF(S124&lt;&gt;"",1,0)+IF(ABS(T124)&gt;0.01,1,0)+IF(U124&lt;&gt;"",1,0)</x:f>
        <x:v>0</x:v>
      </x:c>
      <x:c r="W124" t="str">
        <x:f>IF(V124=0,"PASS","REVIEW")</x:f>
        <x:v>PASS</x:v>
      </x:c>
    </x:row>
    <x:row r="125">
      <x:c r="A125" t="str">
        <x:v>ORD-5124</x:v>
      </x:c>
      <x:c r="B125" s="26" t="n">
        <x:v>46145</x:v>
      </x:c>
      <x:c r="C125" t="str">
        <x:v>C-1056</x:v>
      </x:c>
      <x:c r="D125" t="str">
        <x:v>SKU-104</x:v>
      </x:c>
      <x:c r="E125" t="n">
        <x:v>1</x:v>
      </x:c>
      <x:c r="F125" s="24" t="n">
        <x:v>58</x:v>
      </x:c>
      <x:c r="G125" s="24" t="n">
        <x:v>58</x:v>
      </x:c>
      <x:c r="H125" s="24" t="n">
        <x:v>0</x:v>
      </x:c>
      <x:c r="I125" s="24" t="n">
        <x:v>3.48</x:v>
      </x:c>
      <x:c r="J125" s="24" t="n">
        <x:v>6.95</x:v>
      </x:c>
      <x:c r="K125" s="24" t="n">
        <x:v>0</x:v>
      </x:c>
      <x:c r="L125" s="24" t="n">
        <x:v>2.28</x:v>
      </x:c>
      <x:c r="M125" s="24" t="n">
        <x:v>66.15</x:v>
      </x:c>
      <x:c r="N125" s="24" t="n">
        <x:v>66.15</x:v>
      </x:c>
      <x:c r="O125" t="str">
        <x:v>Paid</x:v>
      </x:c>
      <x:c r="P125" t="str">
        <x:v>Delivered</x:v>
      </x:c>
      <x:c r="Q125" t="str">
        <x:f>IF(COUNTIF($A$2:$A$241,A125)&gt;1,"DUPLICATE","")</x:f>
      </x:c>
      <x:c r="R125" t="str">
        <x:f>IF(OR(A125="",B125="",C125="",D125="",E125=""),"MISSING","")</x:f>
      </x:c>
      <x:c r="S125" t="str">
        <x:f>IF(COUNTIF('Product Master'!$A$2:$A$9,D125)=0,"INVALID SKU","")</x:f>
      </x:c>
      <x:c r="T125" s="24" t="n">
        <x:f>N125-M125</x:f>
        <x:v>0</x:v>
      </x:c>
      <x:c r="U125" t="str">
        <x:f>IF(AND(K125&gt;0,O125="Paid"),"REFUND STATUS","")</x:f>
      </x:c>
      <x:c r="V125" t="n">
        <x:f>IF(Q125&lt;&gt;"",1,0)+IF(R125&lt;&gt;"",1,0)+IF(S125&lt;&gt;"",1,0)+IF(ABS(T125)&gt;0.01,1,0)+IF(U125&lt;&gt;"",1,0)</x:f>
        <x:v>0</x:v>
      </x:c>
      <x:c r="W125" t="str">
        <x:f>IF(V125=0,"PASS","REVIEW")</x:f>
        <x:v>PASS</x:v>
      </x:c>
    </x:row>
    <x:row r="126">
      <x:c r="A126" t="str">
        <x:v>ORD-5125</x:v>
      </x:c>
      <x:c r="B126" s="26" t="n">
        <x:v>46146</x:v>
      </x:c>
      <x:c r="C126" t="str">
        <x:v>C-1057</x:v>
      </x:c>
      <x:c r="D126" t="str">
        <x:v>SKU-105</x:v>
      </x:c>
      <x:c r="E126" t="n">
        <x:v>2</x:v>
      </x:c>
      <x:c r="F126" s="24" t="n">
        <x:v>32</x:v>
      </x:c>
      <x:c r="G126" s="24" t="n">
        <x:v>64</x:v>
      </x:c>
      <x:c r="H126" s="24" t="n">
        <x:v>0</x:v>
      </x:c>
      <x:c r="I126" s="24" t="n">
        <x:v>3.84</x:v>
      </x:c>
      <x:c r="J126" s="24" t="n">
        <x:v>0</x:v>
      </x:c>
      <x:c r="K126" s="24" t="n">
        <x:v>0</x:v>
      </x:c>
      <x:c r="L126" s="24" t="n">
        <x:v>2.27</x:v>
      </x:c>
      <x:c r="M126" s="24" t="n">
        <x:v>65.57</x:v>
      </x:c>
      <x:c r="N126" s="24" t="n">
        <x:v>65.57</x:v>
      </x:c>
      <x:c r="O126" t="str">
        <x:v>Paid</x:v>
      </x:c>
      <x:c r="P126" t="str">
        <x:v>Delivered</x:v>
      </x:c>
      <x:c r="Q126" t="str">
        <x:f>IF(COUNTIF($A$2:$A$241,A126)&gt;1,"DUPLICATE","")</x:f>
      </x:c>
      <x:c r="R126" t="str">
        <x:f>IF(OR(A126="",B126="",C126="",D126="",E126=""),"MISSING","")</x:f>
      </x:c>
      <x:c r="S126" t="str">
        <x:f>IF(COUNTIF('Product Master'!$A$2:$A$9,D126)=0,"INVALID SKU","")</x:f>
      </x:c>
      <x:c r="T126" s="24" t="n">
        <x:f>N126-M126</x:f>
        <x:v>0</x:v>
      </x:c>
      <x:c r="U126" t="str">
        <x:f>IF(AND(K126&gt;0,O126="Paid"),"REFUND STATUS","")</x:f>
      </x:c>
      <x:c r="V126" t="n">
        <x:f>IF(Q126&lt;&gt;"",1,0)+IF(R126&lt;&gt;"",1,0)+IF(S126&lt;&gt;"",1,0)+IF(ABS(T126)&gt;0.01,1,0)+IF(U126&lt;&gt;"",1,0)</x:f>
        <x:v>0</x:v>
      </x:c>
      <x:c r="W126" t="str">
        <x:f>IF(V126=0,"PASS","REVIEW")</x:f>
        <x:v>PASS</x:v>
      </x:c>
    </x:row>
    <x:row r="127">
      <x:c r="A127" t="str">
        <x:v>ORD-5126</x:v>
      </x:c>
      <x:c r="B127" s="26" t="n">
        <x:v>46147</x:v>
      </x:c>
      <x:c r="C127" t="str">
        <x:v>C-1058</x:v>
      </x:c>
      <x:c r="D127" t="str">
        <x:v>SKU-106</x:v>
      </x:c>
      <x:c r="E127" t="n">
        <x:v>3</x:v>
      </x:c>
      <x:c r="F127" s="24" t="n">
        <x:v>36</x:v>
      </x:c>
      <x:c r="G127" s="24" t="n">
        <x:v>108</x:v>
      </x:c>
      <x:c r="H127" s="24" t="n">
        <x:v>0</x:v>
      </x:c>
      <x:c r="I127" s="24" t="n">
        <x:v>6.48</x:v>
      </x:c>
      <x:c r="J127" s="24" t="n">
        <x:v>0</x:v>
      </x:c>
      <x:c r="K127" s="24" t="n">
        <x:v>0</x:v>
      </x:c>
      <x:c r="L127" s="24" t="n">
        <x:v>3.62</x:v>
      </x:c>
      <x:c r="M127" s="24" t="n">
        <x:v>110.86</x:v>
      </x:c>
      <x:c r="N127" s="24" t="n">
        <x:v>110.86</x:v>
      </x:c>
      <x:c r="O127" t="str">
        <x:v>Paid</x:v>
      </x:c>
      <x:c r="P127" t="str">
        <x:v>Delivered</x:v>
      </x:c>
      <x:c r="Q127" t="str">
        <x:f>IF(COUNTIF($A$2:$A$241,A127)&gt;1,"DUPLICATE","")</x:f>
      </x:c>
      <x:c r="R127" t="str">
        <x:f>IF(OR(A127="",B127="",C127="",D127="",E127=""),"MISSING","")</x:f>
      </x:c>
      <x:c r="S127" t="str">
        <x:f>IF(COUNTIF('Product Master'!$A$2:$A$9,D127)=0,"INVALID SKU","")</x:f>
      </x:c>
      <x:c r="T127" s="24" t="n">
        <x:f>N127-M127</x:f>
        <x:v>0</x:v>
      </x:c>
      <x:c r="U127" t="str">
        <x:f>IF(AND(K127&gt;0,O127="Paid"),"REFUND STATUS","")</x:f>
      </x:c>
      <x:c r="V127" t="n">
        <x:f>IF(Q127&lt;&gt;"",1,0)+IF(R127&lt;&gt;"",1,0)+IF(S127&lt;&gt;"",1,0)+IF(ABS(T127)&gt;0.01,1,0)+IF(U127&lt;&gt;"",1,0)</x:f>
        <x:v>0</x:v>
      </x:c>
      <x:c r="W127" t="str">
        <x:f>IF(V127=0,"PASS","REVIEW")</x:f>
        <x:v>PASS</x:v>
      </x:c>
    </x:row>
    <x:row r="128">
      <x:c r="A128" t="str">
        <x:v>ORD-5127</x:v>
      </x:c>
      <x:c r="B128" s="26" t="n">
        <x:v>46148</x:v>
      </x:c>
      <x:c r="C128" t="str">
        <x:v>C-1059</x:v>
      </x:c>
      <x:c r="D128" t="str">
        <x:v>SKU-107</x:v>
      </x:c>
      <x:c r="E128" t="n">
        <x:v>1</x:v>
      </x:c>
      <x:c r="F128" s="24" t="n">
        <x:v>9</x:v>
      </x:c>
      <x:c r="G128" s="24" t="n">
        <x:v>9</x:v>
      </x:c>
      <x:c r="H128" s="24" t="n">
        <x:v>0.9</x:v>
      </x:c>
      <x:c r="I128" s="24" t="n">
        <x:v>0.49</x:v>
      </x:c>
      <x:c r="J128" s="24" t="n">
        <x:v>6.95</x:v>
      </x:c>
      <x:c r="K128" s="24" t="n">
        <x:v>0</x:v>
      </x:c>
      <x:c r="L128" s="24" t="n">
        <x:v>0.75</x:v>
      </x:c>
      <x:c r="M128" s="24" t="n">
        <x:v>14.79</x:v>
      </x:c>
      <x:c r="N128" s="24" t="n">
        <x:v>14.79</x:v>
      </x:c>
      <x:c r="O128" t="str">
        <x:v>Paid</x:v>
      </x:c>
      <x:c r="P128" t="str">
        <x:v>Delivered</x:v>
      </x:c>
      <x:c r="Q128" t="str">
        <x:f>IF(COUNTIF($A$2:$A$241,A128)&gt;1,"DUPLICATE","")</x:f>
      </x:c>
      <x:c r="R128" t="str">
        <x:f>IF(OR(A128="",B128="",C128="",D128="",E128=""),"MISSING","")</x:f>
      </x:c>
      <x:c r="S128" t="str">
        <x:f>IF(COUNTIF('Product Master'!$A$2:$A$9,D128)=0,"INVALID SKU","")</x:f>
      </x:c>
      <x:c r="T128" s="24" t="n">
        <x:f>N128-M128</x:f>
        <x:v>0</x:v>
      </x:c>
      <x:c r="U128" t="str">
        <x:f>IF(AND(K128&gt;0,O128="Paid"),"REFUND STATUS","")</x:f>
      </x:c>
      <x:c r="V128" t="n">
        <x:f>IF(Q128&lt;&gt;"",1,0)+IF(R128&lt;&gt;"",1,0)+IF(S128&lt;&gt;"",1,0)+IF(ABS(T128)&gt;0.01,1,0)+IF(U128&lt;&gt;"",1,0)</x:f>
        <x:v>0</x:v>
      </x:c>
      <x:c r="W128" t="str">
        <x:f>IF(V128=0,"PASS","REVIEW")</x:f>
        <x:v>PASS</x:v>
      </x:c>
    </x:row>
    <x:row r="129">
      <x:c r="A129" t="str">
        <x:v>ORD-5128</x:v>
      </x:c>
      <x:c r="B129" s="26" t="n">
        <x:v>46149</x:v>
      </x:c>
      <x:c r="C129" t="str">
        <x:v>C-1060</x:v>
      </x:c>
      <x:c r="D129" t="str">
        <x:v>SKU-108</x:v>
      </x:c>
      <x:c r="E129" t="n">
        <x:v>2</x:v>
      </x:c>
      <x:c r="F129" s="24" t="n">
        <x:v>42</x:v>
      </x:c>
      <x:c r="G129" s="24" t="n">
        <x:v>84</x:v>
      </x:c>
      <x:c r="H129" s="24" t="n">
        <x:v>0</x:v>
      </x:c>
      <x:c r="I129" s="24" t="n">
        <x:v>5.04</x:v>
      </x:c>
      <x:c r="J129" s="24" t="n">
        <x:v>0</x:v>
      </x:c>
      <x:c r="K129" s="24" t="n">
        <x:v>0</x:v>
      </x:c>
      <x:c r="L129" s="24" t="n">
        <x:v>2.88</x:v>
      </x:c>
      <x:c r="M129" s="24" t="n">
        <x:v>86.16</x:v>
      </x:c>
      <x:c r="N129" s="24" t="n">
        <x:v>86.16</x:v>
      </x:c>
      <x:c r="O129" t="str">
        <x:v>Paid</x:v>
      </x:c>
      <x:c r="P129" t="str">
        <x:v>Delivered</x:v>
      </x:c>
      <x:c r="Q129" t="str">
        <x:f>IF(COUNTIF($A$2:$A$241,A129)&gt;1,"DUPLICATE","")</x:f>
      </x:c>
      <x:c r="R129" t="str">
        <x:f>IF(OR(A129="",B129="",C129="",D129="",E129=""),"MISSING","")</x:f>
      </x:c>
      <x:c r="S129" t="str">
        <x:f>IF(COUNTIF('Product Master'!$A$2:$A$9,D129)=0,"INVALID SKU","")</x:f>
      </x:c>
      <x:c r="T129" s="24" t="n">
        <x:f>N129-M129</x:f>
        <x:v>0</x:v>
      </x:c>
      <x:c r="U129" t="str">
        <x:f>IF(AND(K129&gt;0,O129="Paid"),"REFUND STATUS","")</x:f>
      </x:c>
      <x:c r="V129" t="n">
        <x:f>IF(Q129&lt;&gt;"",1,0)+IF(R129&lt;&gt;"",1,0)+IF(S129&lt;&gt;"",1,0)+IF(ABS(T129)&gt;0.01,1,0)+IF(U129&lt;&gt;"",1,0)</x:f>
        <x:v>0</x:v>
      </x:c>
      <x:c r="W129" t="str">
        <x:f>IF(V129=0,"PASS","REVIEW")</x:f>
        <x:v>PASS</x:v>
      </x:c>
    </x:row>
    <x:row r="130">
      <x:c r="A130" t="str">
        <x:v>ORD-5129</x:v>
      </x:c>
      <x:c r="B130" s="26" t="n">
        <x:v>46150</x:v>
      </x:c>
      <x:c r="C130" t="str">
        <x:v>C-1061</x:v>
      </x:c>
      <x:c r="D130" t="str">
        <x:v>SKU-101</x:v>
      </x:c>
      <x:c r="E130" t="n">
        <x:v>3</x:v>
      </x:c>
      <x:c r="F130" s="24" t="n">
        <x:v>24</x:v>
      </x:c>
      <x:c r="G130" s="24" t="n">
        <x:v>72</x:v>
      </x:c>
      <x:c r="H130" s="24" t="n">
        <x:v>0</x:v>
      </x:c>
      <x:c r="I130" s="24" t="n">
        <x:v>4.32</x:v>
      </x:c>
      <x:c r="J130" s="24" t="n">
        <x:v>0</x:v>
      </x:c>
      <x:c r="K130" s="24" t="n">
        <x:v>0</x:v>
      </x:c>
      <x:c r="L130" s="24" t="n">
        <x:v>2.51</x:v>
      </x:c>
      <x:c r="M130" s="24" t="n">
        <x:v>73.81</x:v>
      </x:c>
      <x:c r="N130" s="24" t="n">
        <x:v>73.81</x:v>
      </x:c>
      <x:c r="O130" t="str">
        <x:v>Paid</x:v>
      </x:c>
      <x:c r="P130" t="str">
        <x:v>Delivered</x:v>
      </x:c>
      <x:c r="Q130" t="str">
        <x:f>IF(COUNTIF($A$2:$A$241,A130)&gt;1,"DUPLICATE","")</x:f>
      </x:c>
      <x:c r="R130" t="str">
        <x:f>IF(OR(A130="",B130="",C130="",D130="",E130=""),"MISSING","")</x:f>
      </x:c>
      <x:c r="S130" t="str">
        <x:f>IF(COUNTIF('Product Master'!$A$2:$A$9,D130)=0,"INVALID SKU","")</x:f>
      </x:c>
      <x:c r="T130" s="24" t="n">
        <x:f>N130-M130</x:f>
        <x:v>0</x:v>
      </x:c>
      <x:c r="U130" t="str">
        <x:f>IF(AND(K130&gt;0,O130="Paid"),"REFUND STATUS","")</x:f>
      </x:c>
      <x:c r="V130" t="n">
        <x:f>IF(Q130&lt;&gt;"",1,0)+IF(R130&lt;&gt;"",1,0)+IF(S130&lt;&gt;"",1,0)+IF(ABS(T130)&gt;0.01,1,0)+IF(U130&lt;&gt;"",1,0)</x:f>
        <x:v>0</x:v>
      </x:c>
      <x:c r="W130" t="str">
        <x:f>IF(V130=0,"PASS","REVIEW")</x:f>
        <x:v>PASS</x:v>
      </x:c>
    </x:row>
    <x:row r="131">
      <x:c r="A131" t="str">
        <x:v>ORD-5130</x:v>
      </x:c>
      <x:c r="B131" s="26" t="n">
        <x:v>46151</x:v>
      </x:c>
      <x:c r="C131" t="str">
        <x:v>C-1062</x:v>
      </x:c>
      <x:c r="D131" t="str">
        <x:v>SKU-102</x:v>
      </x:c>
      <x:c r="E131" t="n">
        <x:v>1</x:v>
      </x:c>
      <x:c r="F131" s="24" t="n">
        <x:v>28</x:v>
      </x:c>
      <x:c r="G131" s="24" t="n">
        <x:v>28</x:v>
      </x:c>
      <x:c r="H131" s="24" t="n">
        <x:v>0</x:v>
      </x:c>
      <x:c r="I131" s="24" t="n">
        <x:v>1.68</x:v>
      </x:c>
      <x:c r="J131" s="24" t="n">
        <x:v>6.95</x:v>
      </x:c>
      <x:c r="K131" s="24" t="n">
        <x:v>0</x:v>
      </x:c>
      <x:c r="L131" s="24" t="n">
        <x:v>1.36</x:v>
      </x:c>
      <x:c r="M131" s="24" t="n">
        <x:v>35.27</x:v>
      </x:c>
      <x:c r="N131" s="24" t="n">
        <x:v>35.27</x:v>
      </x:c>
      <x:c r="O131" t="str">
        <x:v>Paid</x:v>
      </x:c>
      <x:c r="P131" t="str">
        <x:v>Delivered</x:v>
      </x:c>
      <x:c r="Q131" t="str">
        <x:f>IF(COUNTIF($A$2:$A$241,A131)&gt;1,"DUPLICATE","")</x:f>
      </x:c>
      <x:c r="R131" t="str">
        <x:f>IF(OR(A131="",B131="",C131="",D131="",E131=""),"MISSING","")</x:f>
      </x:c>
      <x:c r="S131" t="str">
        <x:f>IF(COUNTIF('Product Master'!$A$2:$A$9,D131)=0,"INVALID SKU","")</x:f>
      </x:c>
      <x:c r="T131" s="24" t="n">
        <x:f>N131-M131</x:f>
        <x:v>0</x:v>
      </x:c>
      <x:c r="U131" t="str">
        <x:f>IF(AND(K131&gt;0,O131="Paid"),"REFUND STATUS","")</x:f>
      </x:c>
      <x:c r="V131" t="n">
        <x:f>IF(Q131&lt;&gt;"",1,0)+IF(R131&lt;&gt;"",1,0)+IF(S131&lt;&gt;"",1,0)+IF(ABS(T131)&gt;0.01,1,0)+IF(U131&lt;&gt;"",1,0)</x:f>
        <x:v>0</x:v>
      </x:c>
      <x:c r="W131" t="str">
        <x:f>IF(V131=0,"PASS","REVIEW")</x:f>
        <x:v>PASS</x:v>
      </x:c>
    </x:row>
    <x:row r="132">
      <x:c r="A132" t="str">
        <x:v>ORD-5131</x:v>
      </x:c>
      <x:c r="B132" s="26" t="n">
        <x:v>46152</x:v>
      </x:c>
      <x:c r="C132" t="str">
        <x:v>C-1063</x:v>
      </x:c>
      <x:c r="D132" t="str">
        <x:v>SKU-103</x:v>
      </x:c>
      <x:c r="E132" t="n">
        <x:v>2</x:v>
      </x:c>
      <x:c r="F132" s="24" t="n">
        <x:v>16</x:v>
      </x:c>
      <x:c r="G132" s="24" t="n">
        <x:v>32</x:v>
      </x:c>
      <x:c r="H132" s="24" t="n">
        <x:v>0</x:v>
      </x:c>
      <x:c r="I132" s="24" t="n">
        <x:v>1.92</x:v>
      </x:c>
      <x:c r="J132" s="24" t="n">
        <x:v>6.95</x:v>
      </x:c>
      <x:c r="K132" s="24" t="n">
        <x:v>0</x:v>
      </x:c>
      <x:c r="L132" s="24" t="n">
        <x:v>1.49</x:v>
      </x:c>
      <x:c r="M132" s="24" t="n">
        <x:v>39.38</x:v>
      </x:c>
      <x:c r="N132" s="24" t="n">
        <x:v>39.38</x:v>
      </x:c>
      <x:c r="O132" t="str">
        <x:v>Paid</x:v>
      </x:c>
      <x:c r="P132" t="str">
        <x:v>Delivered</x:v>
      </x:c>
      <x:c r="Q132" t="str">
        <x:f>IF(COUNTIF($A$2:$A$241,A132)&gt;1,"DUPLICATE","")</x:f>
      </x:c>
      <x:c r="R132" t="str">
        <x:f>IF(OR(A132="",B132="",C132="",D132="",E132=""),"MISSING","")</x:f>
      </x:c>
      <x:c r="S132" t="str">
        <x:f>IF(COUNTIF('Product Master'!$A$2:$A$9,D132)=0,"INVALID SKU","")</x:f>
      </x:c>
      <x:c r="T132" s="24" t="n">
        <x:f>N132-M132</x:f>
        <x:v>0</x:v>
      </x:c>
      <x:c r="U132" t="str">
        <x:f>IF(AND(K132&gt;0,O132="Paid"),"REFUND STATUS","")</x:f>
      </x:c>
      <x:c r="V132" t="n">
        <x:f>IF(Q132&lt;&gt;"",1,0)+IF(R132&lt;&gt;"",1,0)+IF(S132&lt;&gt;"",1,0)+IF(ABS(T132)&gt;0.01,1,0)+IF(U132&lt;&gt;"",1,0)</x:f>
        <x:v>0</x:v>
      </x:c>
      <x:c r="W132" t="str">
        <x:f>IF(V132=0,"PASS","REVIEW")</x:f>
        <x:v>PASS</x:v>
      </x:c>
    </x:row>
    <x:row r="133">
      <x:c r="A133" t="str">
        <x:v>ORD-5132</x:v>
      </x:c>
      <x:c r="B133" s="26" t="n">
        <x:v>46153</x:v>
      </x:c>
      <x:c r="C133" t="str">
        <x:v>C-1064</x:v>
      </x:c>
      <x:c r="D133" t="str">
        <x:v>SKU-104</x:v>
      </x:c>
      <x:c r="E133" t="n">
        <x:v>3</x:v>
      </x:c>
      <x:c r="F133" s="24" t="n">
        <x:v>58</x:v>
      </x:c>
      <x:c r="G133" s="24" t="n">
        <x:v>174</x:v>
      </x:c>
      <x:c r="H133" s="24" t="n">
        <x:v>0</x:v>
      </x:c>
      <x:c r="I133" s="24" t="n">
        <x:v>10.44</x:v>
      </x:c>
      <x:c r="J133" s="24" t="n">
        <x:v>0</x:v>
      </x:c>
      <x:c r="K133" s="24" t="n">
        <x:v>0</x:v>
      </x:c>
      <x:c r="L133" s="24" t="n">
        <x:v>5.65</x:v>
      </x:c>
      <x:c r="M133" s="24" t="n">
        <x:v>178.79</x:v>
      </x:c>
      <x:c r="N133" s="24" t="n">
        <x:v>178.79</x:v>
      </x:c>
      <x:c r="O133" t="str">
        <x:v>Paid</x:v>
      </x:c>
      <x:c r="P133" t="str">
        <x:v>Delivered</x:v>
      </x:c>
      <x:c r="Q133" t="str">
        <x:f>IF(COUNTIF($A$2:$A$241,A133)&gt;1,"DUPLICATE","")</x:f>
      </x:c>
      <x:c r="R133" t="str">
        <x:f>IF(OR(A133="",B133="",C133="",D133="",E133=""),"MISSING","")</x:f>
      </x:c>
      <x:c r="S133" t="str">
        <x:f>IF(COUNTIF('Product Master'!$A$2:$A$9,D133)=0,"INVALID SKU","")</x:f>
      </x:c>
      <x:c r="T133" s="24" t="n">
        <x:f>N133-M133</x:f>
        <x:v>0</x:v>
      </x:c>
      <x:c r="U133" t="str">
        <x:f>IF(AND(K133&gt;0,O133="Paid"),"REFUND STATUS","")</x:f>
      </x:c>
      <x:c r="V133" t="n">
        <x:f>IF(Q133&lt;&gt;"",1,0)+IF(R133&lt;&gt;"",1,0)+IF(S133&lt;&gt;"",1,0)+IF(ABS(T133)&gt;0.01,1,0)+IF(U133&lt;&gt;"",1,0)</x:f>
        <x:v>0</x:v>
      </x:c>
      <x:c r="W133" t="str">
        <x:f>IF(V133=0,"PASS","REVIEW")</x:f>
        <x:v>PASS</x:v>
      </x:c>
    </x:row>
    <x:row r="134">
      <x:c r="A134" t="str">
        <x:v>ORD-5133</x:v>
      </x:c>
      <x:c r="B134" s="26" t="n">
        <x:v>46154</x:v>
      </x:c>
      <x:c r="C134" t="str">
        <x:v>C-1065</x:v>
      </x:c>
      <x:c r="D134" t="str">
        <x:v>SKU-105</x:v>
      </x:c>
      <x:c r="E134" t="n">
        <x:v>1</x:v>
      </x:c>
      <x:c r="F134" s="24" t="n">
        <x:v>32</x:v>
      </x:c>
      <x:c r="G134" s="24" t="n">
        <x:v>32</x:v>
      </x:c>
      <x:c r="H134" s="24" t="n">
        <x:v>0</x:v>
      </x:c>
      <x:c r="I134" s="24" t="n">
        <x:v>1.92</x:v>
      </x:c>
      <x:c r="J134" s="24" t="n">
        <x:v>6.95</x:v>
      </x:c>
      <x:c r="K134" s="24" t="n">
        <x:v>0</x:v>
      </x:c>
      <x:c r="L134" s="24" t="n">
        <x:v>1.49</x:v>
      </x:c>
      <x:c r="M134" s="24" t="n">
        <x:v>39.38</x:v>
      </x:c>
      <x:c r="N134" s="24" t="n">
        <x:v>39.38</x:v>
      </x:c>
      <x:c r="O134" t="str">
        <x:v>Paid</x:v>
      </x:c>
      <x:c r="P134" t="str">
        <x:v>Delivered</x:v>
      </x:c>
      <x:c r="Q134" t="str">
        <x:f>IF(COUNTIF($A$2:$A$241,A134)&gt;1,"DUPLICATE","")</x:f>
      </x:c>
      <x:c r="R134" t="str">
        <x:f>IF(OR(A134="",B134="",C134="",D134="",E134=""),"MISSING","")</x:f>
      </x:c>
      <x:c r="S134" t="str">
        <x:f>IF(COUNTIF('Product Master'!$A$2:$A$9,D134)=0,"INVALID SKU","")</x:f>
      </x:c>
      <x:c r="T134" s="24" t="n">
        <x:f>N134-M134</x:f>
        <x:v>0</x:v>
      </x:c>
      <x:c r="U134" t="str">
        <x:f>IF(AND(K134&gt;0,O134="Paid"),"REFUND STATUS","")</x:f>
      </x:c>
      <x:c r="V134" t="n">
        <x:f>IF(Q134&lt;&gt;"",1,0)+IF(R134&lt;&gt;"",1,0)+IF(S134&lt;&gt;"",1,0)+IF(ABS(T134)&gt;0.01,1,0)+IF(U134&lt;&gt;"",1,0)</x:f>
        <x:v>0</x:v>
      </x:c>
      <x:c r="W134" t="str">
        <x:f>IF(V134=0,"PASS","REVIEW")</x:f>
        <x:v>PASS</x:v>
      </x:c>
    </x:row>
    <x:row r="135">
      <x:c r="A135" t="str">
        <x:v>ORD-5134</x:v>
      </x:c>
      <x:c r="B135" s="26" t="n">
        <x:v>46155</x:v>
      </x:c>
      <x:c r="C135" t="str">
        <x:v>C-1066</x:v>
      </x:c>
      <x:c r="D135" t="str">
        <x:v>SKU-106</x:v>
      </x:c>
      <x:c r="E135" t="n">
        <x:v>2</x:v>
      </x:c>
      <x:c r="F135" s="24" t="n">
        <x:v>36</x:v>
      </x:c>
      <x:c r="G135" s="24" t="n">
        <x:v>72</x:v>
      </x:c>
      <x:c r="H135" s="24" t="n">
        <x:v>0</x:v>
      </x:c>
      <x:c r="I135" s="24" t="n">
        <x:v>4.32</x:v>
      </x:c>
      <x:c r="J135" s="24" t="n">
        <x:v>0</x:v>
      </x:c>
      <x:c r="K135" s="24" t="n">
        <x:v>0</x:v>
      </x:c>
      <x:c r="L135" s="24" t="n">
        <x:v>2.51</x:v>
      </x:c>
      <x:c r="M135" s="24" t="n">
        <x:v>73.81</x:v>
      </x:c>
      <x:c r="N135" s="24" t="n">
        <x:v>73.81</x:v>
      </x:c>
      <x:c r="O135" t="str">
        <x:v>Paid</x:v>
      </x:c>
      <x:c r="P135" t="str">
        <x:v>Delivered</x:v>
      </x:c>
      <x:c r="Q135" t="str">
        <x:f>IF(COUNTIF($A$2:$A$241,A135)&gt;1,"DUPLICATE","")</x:f>
      </x:c>
      <x:c r="R135" t="str">
        <x:f>IF(OR(A135="",B135="",C135="",D135="",E135=""),"MISSING","")</x:f>
      </x:c>
      <x:c r="S135" t="str">
        <x:f>IF(COUNTIF('Product Master'!$A$2:$A$9,D135)=0,"INVALID SKU","")</x:f>
      </x:c>
      <x:c r="T135" s="24" t="n">
        <x:f>N135-M135</x:f>
        <x:v>0</x:v>
      </x:c>
      <x:c r="U135" t="str">
        <x:f>IF(AND(K135&gt;0,O135="Paid"),"REFUND STATUS","")</x:f>
      </x:c>
      <x:c r="V135" t="n">
        <x:f>IF(Q135&lt;&gt;"",1,0)+IF(R135&lt;&gt;"",1,0)+IF(S135&lt;&gt;"",1,0)+IF(ABS(T135)&gt;0.01,1,0)+IF(U135&lt;&gt;"",1,0)</x:f>
        <x:v>0</x:v>
      </x:c>
      <x:c r="W135" t="str">
        <x:f>IF(V135=0,"PASS","REVIEW")</x:f>
        <x:v>PASS</x:v>
      </x:c>
    </x:row>
    <x:row r="136">
      <x:c r="A136" t="str">
        <x:v>ORD-5135</x:v>
      </x:c>
      <x:c r="B136" s="26" t="n">
        <x:v>46156</x:v>
      </x:c>
      <x:c r="C136" t="str">
        <x:v>C-1000</x:v>
      </x:c>
      <x:c r="D136" t="str">
        <x:v>SKU-107</x:v>
      </x:c>
      <x:c r="E136" t="n">
        <x:v>3</x:v>
      </x:c>
      <x:c r="F136" s="24" t="n">
        <x:v>9</x:v>
      </x:c>
      <x:c r="G136" s="24" t="n">
        <x:v>27</x:v>
      </x:c>
      <x:c r="H136" s="24" t="n">
        <x:v>0</x:v>
      </x:c>
      <x:c r="I136" s="24" t="n">
        <x:v>1.62</x:v>
      </x:c>
      <x:c r="J136" s="24" t="n">
        <x:v>6.95</x:v>
      </x:c>
      <x:c r="K136" s="24" t="n">
        <x:v>0</x:v>
      </x:c>
      <x:c r="L136" s="24" t="n">
        <x:v>1.33</x:v>
      </x:c>
      <x:c r="M136" s="24" t="n">
        <x:v>34.24</x:v>
      </x:c>
      <x:c r="N136" s="24" t="n">
        <x:v>34.24</x:v>
      </x:c>
      <x:c r="O136" t="str">
        <x:v>Paid</x:v>
      </x:c>
      <x:c r="P136" t="str">
        <x:v>Delivered</x:v>
      </x:c>
      <x:c r="Q136" t="str">
        <x:f>IF(COUNTIF($A$2:$A$241,A136)&gt;1,"DUPLICATE","")</x:f>
      </x:c>
      <x:c r="R136" t="str">
        <x:f>IF(OR(A136="",B136="",C136="",D136="",E136=""),"MISSING","")</x:f>
      </x:c>
      <x:c r="S136" t="str">
        <x:f>IF(COUNTIF('Product Master'!$A$2:$A$9,D136)=0,"INVALID SKU","")</x:f>
      </x:c>
      <x:c r="T136" s="24" t="n">
        <x:f>N136-M136</x:f>
        <x:v>0</x:v>
      </x:c>
      <x:c r="U136" t="str">
        <x:f>IF(AND(K136&gt;0,O136="Paid"),"REFUND STATUS","")</x:f>
      </x:c>
      <x:c r="V136" t="n">
        <x:f>IF(Q136&lt;&gt;"",1,0)+IF(R136&lt;&gt;"",1,0)+IF(S136&lt;&gt;"",1,0)+IF(ABS(T136)&gt;0.01,1,0)+IF(U136&lt;&gt;"",1,0)</x:f>
        <x:v>0</x:v>
      </x:c>
      <x:c r="W136" t="str">
        <x:f>IF(V136=0,"PASS","REVIEW")</x:f>
        <x:v>PASS</x:v>
      </x:c>
    </x:row>
    <x:row r="137">
      <x:c r="A137" t="str">
        <x:v>ORD-5136</x:v>
      </x:c>
      <x:c r="B137" s="26" t="n">
        <x:v>46157</x:v>
      </x:c>
      <x:c r="C137" t="str">
        <x:v>C-1001</x:v>
      </x:c>
      <x:c r="D137" t="str">
        <x:v>SKU-108</x:v>
      </x:c>
      <x:c r="E137" t="n">
        <x:v>1</x:v>
      </x:c>
      <x:c r="F137" s="24" t="n">
        <x:v>42</x:v>
      </x:c>
      <x:c r="G137" s="24" t="n">
        <x:v>42</x:v>
      </x:c>
      <x:c r="H137" s="24" t="n">
        <x:v>4.2</x:v>
      </x:c>
      <x:c r="I137" s="24" t="n">
        <x:v>2.27</x:v>
      </x:c>
      <x:c r="J137" s="24" t="n">
        <x:v>6.95</x:v>
      </x:c>
      <x:c r="K137" s="24" t="n">
        <x:v>0</x:v>
      </x:c>
      <x:c r="L137" s="24" t="n">
        <x:v>1.66</x:v>
      </x:c>
      <x:c r="M137" s="24" t="n">
        <x:v>45.36</x:v>
      </x:c>
      <x:c r="N137" s="24" t="n">
        <x:v>45.36</x:v>
      </x:c>
      <x:c r="O137" t="str">
        <x:v>Paid</x:v>
      </x:c>
      <x:c r="P137" t="str">
        <x:v>Delivered</x:v>
      </x:c>
      <x:c r="Q137" t="str">
        <x:f>IF(COUNTIF($A$2:$A$241,A137)&gt;1,"DUPLICATE","")</x:f>
      </x:c>
      <x:c r="R137" t="str">
        <x:f>IF(OR(A137="",B137="",C137="",D137="",E137=""),"MISSING","")</x:f>
      </x:c>
      <x:c r="S137" t="str">
        <x:f>IF(COUNTIF('Product Master'!$A$2:$A$9,D137)=0,"INVALID SKU","")</x:f>
      </x:c>
      <x:c r="T137" s="24" t="n">
        <x:f>N137-M137</x:f>
        <x:v>0</x:v>
      </x:c>
      <x:c r="U137" t="str">
        <x:f>IF(AND(K137&gt;0,O137="Paid"),"REFUND STATUS","")</x:f>
      </x:c>
      <x:c r="V137" t="n">
        <x:f>IF(Q137&lt;&gt;"",1,0)+IF(R137&lt;&gt;"",1,0)+IF(S137&lt;&gt;"",1,0)+IF(ABS(T137)&gt;0.01,1,0)+IF(U137&lt;&gt;"",1,0)</x:f>
        <x:v>0</x:v>
      </x:c>
      <x:c r="W137" t="str">
        <x:f>IF(V137=0,"PASS","REVIEW")</x:f>
        <x:v>PASS</x:v>
      </x:c>
    </x:row>
    <x:row r="138">
      <x:c r="A138" t="str">
        <x:v>ORD-5137</x:v>
      </x:c>
      <x:c r="B138" s="26" t="n">
        <x:v>46158</x:v>
      </x:c>
      <x:c r="C138" t="str">
        <x:v>C-1002</x:v>
      </x:c>
      <x:c r="D138" t="str">
        <x:v>SKU-101</x:v>
      </x:c>
      <x:c r="E138" t="n">
        <x:v>2</x:v>
      </x:c>
      <x:c r="F138" s="24" t="n">
        <x:v>24</x:v>
      </x:c>
      <x:c r="G138" s="24" t="n">
        <x:v>48</x:v>
      </x:c>
      <x:c r="H138" s="24" t="n">
        <x:v>0</x:v>
      </x:c>
      <x:c r="I138" s="24" t="n">
        <x:v>2.88</x:v>
      </x:c>
      <x:c r="J138" s="24" t="n">
        <x:v>6.95</x:v>
      </x:c>
      <x:c r="K138" s="24" t="n">
        <x:v>0</x:v>
      </x:c>
      <x:c r="L138" s="24" t="n">
        <x:v>1.98</x:v>
      </x:c>
      <x:c r="M138" s="24" t="n">
        <x:v>55.85</x:v>
      </x:c>
      <x:c r="N138" s="24" t="n">
        <x:v>55.85</x:v>
      </x:c>
      <x:c r="O138" t="str">
        <x:v>Paid</x:v>
      </x:c>
      <x:c r="P138" t="str">
        <x:v>Delivered</x:v>
      </x:c>
      <x:c r="Q138" t="str">
        <x:f>IF(COUNTIF($A$2:$A$241,A138)&gt;1,"DUPLICATE","")</x:f>
      </x:c>
      <x:c r="R138" t="str">
        <x:f>IF(OR(A138="",B138="",C138="",D138="",E138=""),"MISSING","")</x:f>
      </x:c>
      <x:c r="S138" t="str">
        <x:f>IF(COUNTIF('Product Master'!$A$2:$A$9,D138)=0,"INVALID SKU","")</x:f>
      </x:c>
      <x:c r="T138" s="24" t="n">
        <x:f>N138-M138</x:f>
        <x:v>0</x:v>
      </x:c>
      <x:c r="U138" t="str">
        <x:f>IF(AND(K138&gt;0,O138="Paid"),"REFUND STATUS","")</x:f>
      </x:c>
      <x:c r="V138" t="n">
        <x:f>IF(Q138&lt;&gt;"",1,0)+IF(R138&lt;&gt;"",1,0)+IF(S138&lt;&gt;"",1,0)+IF(ABS(T138)&gt;0.01,1,0)+IF(U138&lt;&gt;"",1,0)</x:f>
        <x:v>0</x:v>
      </x:c>
      <x:c r="W138" t="str">
        <x:f>IF(V138=0,"PASS","REVIEW")</x:f>
        <x:v>PASS</x:v>
      </x:c>
    </x:row>
    <x:row r="139">
      <x:c r="A139" t="str">
        <x:v>ORD-5138</x:v>
      </x:c>
      <x:c r="B139" s="26" t="n">
        <x:v>46159</x:v>
      </x:c>
      <x:c r="C139" t="str">
        <x:v>C-1003</x:v>
      </x:c>
      <x:c r="D139" t="str">
        <x:v>SKU-102</x:v>
      </x:c>
      <x:c r="E139" t="n">
        <x:v>3</x:v>
      </x:c>
      <x:c r="F139" s="24" t="n">
        <x:v>28</x:v>
      </x:c>
      <x:c r="G139" s="24" t="n">
        <x:v>84</x:v>
      </x:c>
      <x:c r="H139" s="24" t="n">
        <x:v>0</x:v>
      </x:c>
      <x:c r="I139" s="24" t="n">
        <x:v>5.04</x:v>
      </x:c>
      <x:c r="J139" s="24" t="n">
        <x:v>0</x:v>
      </x:c>
      <x:c r="K139" s="24" t="n">
        <x:v>0</x:v>
      </x:c>
      <x:c r="L139" s="24" t="n">
        <x:v>2.88</x:v>
      </x:c>
      <x:c r="M139" s="24" t="n">
        <x:v>86.16</x:v>
      </x:c>
      <x:c r="N139" s="24" t="n">
        <x:v>98.66</x:v>
      </x:c>
      <x:c r="O139" t="str">
        <x:v>Paid</x:v>
      </x:c>
      <x:c r="P139" t="str">
        <x:v>Delivered</x:v>
      </x:c>
      <x:c r="Q139" t="str">
        <x:f>IF(COUNTIF($A$2:$A$241,A139)&gt;1,"DUPLICATE","")</x:f>
      </x:c>
      <x:c r="R139" t="str">
        <x:f>IF(OR(A139="",B139="",C139="",D139="",E139=""),"MISSING","")</x:f>
      </x:c>
      <x:c r="S139" t="str">
        <x:f>IF(COUNTIF('Product Master'!$A$2:$A$9,D139)=0,"INVALID SKU","")</x:f>
      </x:c>
      <x:c r="T139" s="24" t="n">
        <x:f>N139-M139</x:f>
        <x:v>12.5</x:v>
      </x:c>
      <x:c r="U139" t="str">
        <x:f>IF(AND(K139&gt;0,O139="Paid"),"REFUND STATUS","")</x:f>
      </x:c>
      <x:c r="V139" t="n">
        <x:f>IF(Q139&lt;&gt;"",1,0)+IF(R139&lt;&gt;"",1,0)+IF(S139&lt;&gt;"",1,0)+IF(ABS(T139)&gt;0.01,1,0)+IF(U139&lt;&gt;"",1,0)</x:f>
        <x:v>1</x:v>
      </x:c>
      <x:c r="W139" t="str">
        <x:f>IF(V139=0,"PASS","REVIEW")</x:f>
        <x:v>REVIEW</x:v>
      </x:c>
    </x:row>
    <x:row r="140">
      <x:c r="A140" t="str">
        <x:v>ORD-5139</x:v>
      </x:c>
      <x:c r="B140" s="26" t="n">
        <x:v>46160</x:v>
      </x:c>
      <x:c r="C140" t="str">
        <x:v>C-1004</x:v>
      </x:c>
      <x:c r="D140" t="str">
        <x:v>SKU-103</x:v>
      </x:c>
      <x:c r="E140" t="n">
        <x:v>1</x:v>
      </x:c>
      <x:c r="F140" s="24" t="n">
        <x:v>16</x:v>
      </x:c>
      <x:c r="G140" s="24" t="n">
        <x:v>16</x:v>
      </x:c>
      <x:c r="H140" s="24" t="n">
        <x:v>0</x:v>
      </x:c>
      <x:c r="I140" s="24" t="n">
        <x:v>0.96</x:v>
      </x:c>
      <x:c r="J140" s="24" t="n">
        <x:v>6.95</x:v>
      </x:c>
      <x:c r="K140" s="24" t="n">
        <x:v>0</x:v>
      </x:c>
      <x:c r="L140" s="24" t="n">
        <x:v>0.99</x:v>
      </x:c>
      <x:c r="M140" s="24" t="n">
        <x:v>22.92</x:v>
      </x:c>
      <x:c r="N140" s="24" t="n">
        <x:v>22.92</x:v>
      </x:c>
      <x:c r="O140" t="str">
        <x:v>Paid</x:v>
      </x:c>
      <x:c r="P140" t="str">
        <x:v>Delivered</x:v>
      </x:c>
      <x:c r="Q140" t="str">
        <x:f>IF(COUNTIF($A$2:$A$241,A140)&gt;1,"DUPLICATE","")</x:f>
      </x:c>
      <x:c r="R140" t="str">
        <x:f>IF(OR(A140="",B140="",C140="",D140="",E140=""),"MISSING","")</x:f>
      </x:c>
      <x:c r="S140" t="str">
        <x:f>IF(COUNTIF('Product Master'!$A$2:$A$9,D140)=0,"INVALID SKU","")</x:f>
      </x:c>
      <x:c r="T140" s="24" t="n">
        <x:f>N140-M140</x:f>
        <x:v>0</x:v>
      </x:c>
      <x:c r="U140" t="str">
        <x:f>IF(AND(K140&gt;0,O140="Paid"),"REFUND STATUS","")</x:f>
      </x:c>
      <x:c r="V140" t="n">
        <x:f>IF(Q140&lt;&gt;"",1,0)+IF(R140&lt;&gt;"",1,0)+IF(S140&lt;&gt;"",1,0)+IF(ABS(T140)&gt;0.01,1,0)+IF(U140&lt;&gt;"",1,0)</x:f>
        <x:v>0</x:v>
      </x:c>
      <x:c r="W140" t="str">
        <x:f>IF(V140=0,"PASS","REVIEW")</x:f>
        <x:v>PASS</x:v>
      </x:c>
    </x:row>
    <x:row r="141">
      <x:c r="A141" t="str">
        <x:v>ORD-5140</x:v>
      </x:c>
      <x:c r="B141" s="26" t="n">
        <x:v>46161</x:v>
      </x:c>
      <x:c r="C141" t="str">
        <x:v>C-1005</x:v>
      </x:c>
      <x:c r="D141" t="str">
        <x:v>SKU-104</x:v>
      </x:c>
      <x:c r="E141" t="n">
        <x:v>2</x:v>
      </x:c>
      <x:c r="F141" s="24" t="n">
        <x:v>58</x:v>
      </x:c>
      <x:c r="G141" s="24" t="n">
        <x:v>116</x:v>
      </x:c>
      <x:c r="H141" s="24" t="n">
        <x:v>0</x:v>
      </x:c>
      <x:c r="I141" s="24" t="n">
        <x:v>6.96</x:v>
      </x:c>
      <x:c r="J141" s="24" t="n">
        <x:v>0</x:v>
      </x:c>
      <x:c r="K141" s="24" t="n">
        <x:v>0</x:v>
      </x:c>
      <x:c r="L141" s="24" t="n">
        <x:v>3.87</x:v>
      </x:c>
      <x:c r="M141" s="24" t="n">
        <x:v>119.09</x:v>
      </x:c>
      <x:c r="N141" s="24" t="n">
        <x:v>119.09</x:v>
      </x:c>
      <x:c r="O141" t="str">
        <x:v>Paid</x:v>
      </x:c>
      <x:c r="P141" t="str">
        <x:v>Delivered</x:v>
      </x:c>
      <x:c r="Q141" t="str">
        <x:f>IF(COUNTIF($A$2:$A$241,A141)&gt;1,"DUPLICATE","")</x:f>
      </x:c>
      <x:c r="R141" t="str">
        <x:f>IF(OR(A141="",B141="",C141="",D141="",E141=""),"MISSING","")</x:f>
      </x:c>
      <x:c r="S141" t="str">
        <x:f>IF(COUNTIF('Product Master'!$A$2:$A$9,D141)=0,"INVALID SKU","")</x:f>
      </x:c>
      <x:c r="T141" s="24" t="n">
        <x:f>N141-M141</x:f>
        <x:v>0</x:v>
      </x:c>
      <x:c r="U141" t="str">
        <x:f>IF(AND(K141&gt;0,O141="Paid"),"REFUND STATUS","")</x:f>
      </x:c>
      <x:c r="V141" t="n">
        <x:f>IF(Q141&lt;&gt;"",1,0)+IF(R141&lt;&gt;"",1,0)+IF(S141&lt;&gt;"",1,0)+IF(ABS(T141)&gt;0.01,1,0)+IF(U141&lt;&gt;"",1,0)</x:f>
        <x:v>0</x:v>
      </x:c>
      <x:c r="W141" t="str">
        <x:f>IF(V141=0,"PASS","REVIEW")</x:f>
        <x:v>PASS</x:v>
      </x:c>
    </x:row>
    <x:row r="142">
      <x:c r="A142" t="str">
        <x:v>ORD-5141</x:v>
      </x:c>
      <x:c r="B142" s="26" t="n">
        <x:v>46162</x:v>
      </x:c>
      <x:c r="C142" t="str">
        <x:v>C-1006</x:v>
      </x:c>
      <x:c r="D142" t="str">
        <x:v>SKU-105</x:v>
      </x:c>
      <x:c r="E142" t="n">
        <x:v>3</x:v>
      </x:c>
      <x:c r="F142" s="24" t="n">
        <x:v>32</x:v>
      </x:c>
      <x:c r="G142" s="24" t="n">
        <x:v>96</x:v>
      </x:c>
      <x:c r="H142" s="24" t="n">
        <x:v>0</x:v>
      </x:c>
      <x:c r="I142" s="24" t="n">
        <x:v>5.76</x:v>
      </x:c>
      <x:c r="J142" s="24" t="n">
        <x:v>0</x:v>
      </x:c>
      <x:c r="K142" s="24" t="n">
        <x:v>0</x:v>
      </x:c>
      <x:c r="L142" s="24" t="n">
        <x:v>3.25</x:v>
      </x:c>
      <x:c r="M142" s="24" t="n">
        <x:v>98.51</x:v>
      </x:c>
      <x:c r="N142" s="24" t="n">
        <x:v>98.51</x:v>
      </x:c>
      <x:c r="O142" t="str">
        <x:v>Paid</x:v>
      </x:c>
      <x:c r="P142" t="str">
        <x:v>Delivered</x:v>
      </x:c>
      <x:c r="Q142" t="str">
        <x:f>IF(COUNTIF($A$2:$A$241,A142)&gt;1,"DUPLICATE","")</x:f>
      </x:c>
      <x:c r="R142" t="str">
        <x:f>IF(OR(A142="",B142="",C142="",D142="",E142=""),"MISSING","")</x:f>
      </x:c>
      <x:c r="S142" t="str">
        <x:f>IF(COUNTIF('Product Master'!$A$2:$A$9,D142)=0,"INVALID SKU","")</x:f>
      </x:c>
      <x:c r="T142" s="24" t="n">
        <x:f>N142-M142</x:f>
        <x:v>0</x:v>
      </x:c>
      <x:c r="U142" t="str">
        <x:f>IF(AND(K142&gt;0,O142="Paid"),"REFUND STATUS","")</x:f>
      </x:c>
      <x:c r="V142" t="n">
        <x:f>IF(Q142&lt;&gt;"",1,0)+IF(R142&lt;&gt;"",1,0)+IF(S142&lt;&gt;"",1,0)+IF(ABS(T142)&gt;0.01,1,0)+IF(U142&lt;&gt;"",1,0)</x:f>
        <x:v>0</x:v>
      </x:c>
      <x:c r="W142" t="str">
        <x:f>IF(V142=0,"PASS","REVIEW")</x:f>
        <x:v>PASS</x:v>
      </x:c>
    </x:row>
    <x:row r="143">
      <x:c r="A143" t="str">
        <x:v>ORD-5142</x:v>
      </x:c>
      <x:c r="B143" s="26" t="n">
        <x:v>46163</x:v>
      </x:c>
      <x:c r="C143" t="str">
        <x:v>C-1007</x:v>
      </x:c>
      <x:c r="D143" t="str">
        <x:v>SKU-106</x:v>
      </x:c>
      <x:c r="E143" t="n">
        <x:v>1</x:v>
      </x:c>
      <x:c r="F143" s="24" t="n">
        <x:v>36</x:v>
      </x:c>
      <x:c r="G143" s="24" t="n">
        <x:v>36</x:v>
      </x:c>
      <x:c r="H143" s="24" t="n">
        <x:v>0</x:v>
      </x:c>
      <x:c r="I143" s="24" t="n">
        <x:v>2.16</x:v>
      </x:c>
      <x:c r="J143" s="24" t="n">
        <x:v>6.95</x:v>
      </x:c>
      <x:c r="K143" s="24" t="n">
        <x:v>0</x:v>
      </x:c>
      <x:c r="L143" s="24" t="n">
        <x:v>1.61</x:v>
      </x:c>
      <x:c r="M143" s="24" t="n">
        <x:v>43.5</x:v>
      </x:c>
      <x:c r="N143" s="24" t="n">
        <x:v>43.5</x:v>
      </x:c>
      <x:c r="O143" t="str">
        <x:v>Paid</x:v>
      </x:c>
      <x:c r="P143" t="str">
        <x:v>Delivered</x:v>
      </x:c>
      <x:c r="Q143" t="str">
        <x:f>IF(COUNTIF($A$2:$A$241,A143)&gt;1,"DUPLICATE","")</x:f>
      </x:c>
      <x:c r="R143" t="str">
        <x:f>IF(OR(A143="",B143="",C143="",D143="",E143=""),"MISSING","")</x:f>
      </x:c>
      <x:c r="S143" t="str">
        <x:f>IF(COUNTIF('Product Master'!$A$2:$A$9,D143)=0,"INVALID SKU","")</x:f>
      </x:c>
      <x:c r="T143" s="24" t="n">
        <x:f>N143-M143</x:f>
        <x:v>0</x:v>
      </x:c>
      <x:c r="U143" t="str">
        <x:f>IF(AND(K143&gt;0,O143="Paid"),"REFUND STATUS","")</x:f>
      </x:c>
      <x:c r="V143" t="n">
        <x:f>IF(Q143&lt;&gt;"",1,0)+IF(R143&lt;&gt;"",1,0)+IF(S143&lt;&gt;"",1,0)+IF(ABS(T143)&gt;0.01,1,0)+IF(U143&lt;&gt;"",1,0)</x:f>
        <x:v>0</x:v>
      </x:c>
      <x:c r="W143" t="str">
        <x:f>IF(V143=0,"PASS","REVIEW")</x:f>
        <x:v>PASS</x:v>
      </x:c>
    </x:row>
    <x:row r="144">
      <x:c r="A144" t="str">
        <x:v>ORD-5143</x:v>
      </x:c>
      <x:c r="B144" s="26" t="n">
        <x:v>46164</x:v>
      </x:c>
      <x:c r="C144" t="str">
        <x:v>C-1008</x:v>
      </x:c>
      <x:c r="D144" t="str">
        <x:v>SKU-107</x:v>
      </x:c>
      <x:c r="E144" t="n">
        <x:v>2</x:v>
      </x:c>
      <x:c r="F144" s="24" t="n">
        <x:v>9</x:v>
      </x:c>
      <x:c r="G144" s="24" t="n">
        <x:v>18</x:v>
      </x:c>
      <x:c r="H144" s="24" t="n">
        <x:v>0</x:v>
      </x:c>
      <x:c r="I144" s="24" t="n">
        <x:v>1.08</x:v>
      </x:c>
      <x:c r="J144" s="24" t="n">
        <x:v>6.95</x:v>
      </x:c>
      <x:c r="K144" s="24" t="n">
        <x:v>0</x:v>
      </x:c>
      <x:c r="L144" s="24" t="n">
        <x:v>1.05</x:v>
      </x:c>
      <x:c r="M144" s="24" t="n">
        <x:v>24.98</x:v>
      </x:c>
      <x:c r="N144" s="24" t="n">
        <x:v>24.98</x:v>
      </x:c>
      <x:c r="O144" t="str">
        <x:v>Paid</x:v>
      </x:c>
      <x:c r="P144" t="str">
        <x:v>Delivered</x:v>
      </x:c>
      <x:c r="Q144" t="str">
        <x:f>IF(COUNTIF($A$2:$A$241,A144)&gt;1,"DUPLICATE","")</x:f>
      </x:c>
      <x:c r="R144" t="str">
        <x:f>IF(OR(A144="",B144="",C144="",D144="",E144=""),"MISSING","")</x:f>
      </x:c>
      <x:c r="S144" t="str">
        <x:f>IF(COUNTIF('Product Master'!$A$2:$A$9,D144)=0,"INVALID SKU","")</x:f>
      </x:c>
      <x:c r="T144" s="24" t="n">
        <x:f>N144-M144</x:f>
        <x:v>0</x:v>
      </x:c>
      <x:c r="U144" t="str">
        <x:f>IF(AND(K144&gt;0,O144="Paid"),"REFUND STATUS","")</x:f>
      </x:c>
      <x:c r="V144" t="n">
        <x:f>IF(Q144&lt;&gt;"",1,0)+IF(R144&lt;&gt;"",1,0)+IF(S144&lt;&gt;"",1,0)+IF(ABS(T144)&gt;0.01,1,0)+IF(U144&lt;&gt;"",1,0)</x:f>
        <x:v>0</x:v>
      </x:c>
      <x:c r="W144" t="str">
        <x:f>IF(V144=0,"PASS","REVIEW")</x:f>
        <x:v>PASS</x:v>
      </x:c>
    </x:row>
    <x:row r="145">
      <x:c r="A145" t="str">
        <x:v>ORD-5144</x:v>
      </x:c>
      <x:c r="B145" s="26" t="n">
        <x:v>46165</x:v>
      </x:c>
      <x:c r="C145" t="str">
        <x:v>C-1009</x:v>
      </x:c>
      <x:c r="D145" t="str">
        <x:v>SKU-108</x:v>
      </x:c>
      <x:c r="E145" t="n">
        <x:v>3</x:v>
      </x:c>
      <x:c r="F145" s="24" t="n">
        <x:v>42</x:v>
      </x:c>
      <x:c r="G145" s="24" t="n">
        <x:v>126</x:v>
      </x:c>
      <x:c r="H145" s="24" t="n">
        <x:v>0</x:v>
      </x:c>
      <x:c r="I145" s="24" t="n">
        <x:v>7.56</x:v>
      </x:c>
      <x:c r="J145" s="24" t="n">
        <x:v>0</x:v>
      </x:c>
      <x:c r="K145" s="24" t="n">
        <x:v>0</x:v>
      </x:c>
      <x:c r="L145" s="24" t="n">
        <x:v>4.17</x:v>
      </x:c>
      <x:c r="M145" s="24" t="n">
        <x:v>129.39</x:v>
      </x:c>
      <x:c r="N145" s="24" t="n">
        <x:v>129.39</x:v>
      </x:c>
      <x:c r="O145" t="str">
        <x:v>Paid</x:v>
      </x:c>
      <x:c r="P145" t="str">
        <x:v>Delivered</x:v>
      </x:c>
      <x:c r="Q145" t="str">
        <x:f>IF(COUNTIF($A$2:$A$241,A145)&gt;1,"DUPLICATE","")</x:f>
      </x:c>
      <x:c r="R145" t="str">
        <x:f>IF(OR(A145="",B145="",C145="",D145="",E145=""),"MISSING","")</x:f>
      </x:c>
      <x:c r="S145" t="str">
        <x:f>IF(COUNTIF('Product Master'!$A$2:$A$9,D145)=0,"INVALID SKU","")</x:f>
      </x:c>
      <x:c r="T145" s="24" t="n">
        <x:f>N145-M145</x:f>
        <x:v>0</x:v>
      </x:c>
      <x:c r="U145" t="str">
        <x:f>IF(AND(K145&gt;0,O145="Paid"),"REFUND STATUS","")</x:f>
      </x:c>
      <x:c r="V145" t="n">
        <x:f>IF(Q145&lt;&gt;"",1,0)+IF(R145&lt;&gt;"",1,0)+IF(S145&lt;&gt;"",1,0)+IF(ABS(T145)&gt;0.01,1,0)+IF(U145&lt;&gt;"",1,0)</x:f>
        <x:v>0</x:v>
      </x:c>
      <x:c r="W145" t="str">
        <x:f>IF(V145=0,"PASS","REVIEW")</x:f>
        <x:v>PASS</x:v>
      </x:c>
    </x:row>
    <x:row r="146">
      <x:c r="A146" t="str">
        <x:v>ORD-5145</x:v>
      </x:c>
      <x:c r="B146" s="26" t="n">
        <x:v>46166</x:v>
      </x:c>
      <x:c r="C146" t="str">
        <x:v>C-1010</x:v>
      </x:c>
      <x:c r="D146" t="str">
        <x:v>SKU-101</x:v>
      </x:c>
      <x:c r="E146" t="n">
        <x:v>1</x:v>
      </x:c>
      <x:c r="F146" s="24" t="n">
        <x:v>24</x:v>
      </x:c>
      <x:c r="G146" s="24" t="n">
        <x:v>24</x:v>
      </x:c>
      <x:c r="H146" s="24" t="n">
        <x:v>2.4</x:v>
      </x:c>
      <x:c r="I146" s="24" t="n">
        <x:v>1.3</x:v>
      </x:c>
      <x:c r="J146" s="24" t="n">
        <x:v>6.95</x:v>
      </x:c>
      <x:c r="K146" s="24" t="n">
        <x:v>0</x:v>
      </x:c>
      <x:c r="L146" s="24" t="n">
        <x:v>1.17</x:v>
      </x:c>
      <x:c r="M146" s="24" t="n">
        <x:v>28.68</x:v>
      </x:c>
      <x:c r="N146" s="24" t="n">
        <x:v>28.68</x:v>
      </x:c>
      <x:c r="O146" t="str">
        <x:v>Paid</x:v>
      </x:c>
      <x:c r="P146" t="str">
        <x:v>Delivered</x:v>
      </x:c>
      <x:c r="Q146" t="str">
        <x:f>IF(COUNTIF($A$2:$A$241,A146)&gt;1,"DUPLICATE","")</x:f>
      </x:c>
      <x:c r="R146" t="str">
        <x:f>IF(OR(A146="",B146="",C146="",D146="",E146=""),"MISSING","")</x:f>
      </x:c>
      <x:c r="S146" t="str">
        <x:f>IF(COUNTIF('Product Master'!$A$2:$A$9,D146)=0,"INVALID SKU","")</x:f>
      </x:c>
      <x:c r="T146" s="24" t="n">
        <x:f>N146-M146</x:f>
        <x:v>0</x:v>
      </x:c>
      <x:c r="U146" t="str">
        <x:f>IF(AND(K146&gt;0,O146="Paid"),"REFUND STATUS","")</x:f>
      </x:c>
      <x:c r="V146" t="n">
        <x:f>IF(Q146&lt;&gt;"",1,0)+IF(R146&lt;&gt;"",1,0)+IF(S146&lt;&gt;"",1,0)+IF(ABS(T146)&gt;0.01,1,0)+IF(U146&lt;&gt;"",1,0)</x:f>
        <x:v>0</x:v>
      </x:c>
      <x:c r="W146" t="str">
        <x:f>IF(V146=0,"PASS","REVIEW")</x:f>
        <x:v>PASS</x:v>
      </x:c>
    </x:row>
    <x:row r="147">
      <x:c r="A147" t="str">
        <x:v>ORD-5146</x:v>
      </x:c>
      <x:c r="B147" s="26" t="n">
        <x:v>46167</x:v>
      </x:c>
      <x:c r="C147" t="str">
        <x:v>C-1011</x:v>
      </x:c>
      <x:c r="D147" t="str">
        <x:v>SKU-102</x:v>
      </x:c>
      <x:c r="E147" t="n">
        <x:v>2</x:v>
      </x:c>
      <x:c r="F147" s="24" t="n">
        <x:v>28</x:v>
      </x:c>
      <x:c r="G147" s="24" t="n">
        <x:v>56</x:v>
      </x:c>
      <x:c r="H147" s="24" t="n">
        <x:v>0</x:v>
      </x:c>
      <x:c r="I147" s="24" t="n">
        <x:v>3.36</x:v>
      </x:c>
      <x:c r="J147" s="24" t="n">
        <x:v>6.95</x:v>
      </x:c>
      <x:c r="K147" s="24" t="n">
        <x:v>0</x:v>
      </x:c>
      <x:c r="L147" s="24" t="n">
        <x:v>2.22</x:v>
      </x:c>
      <x:c r="M147" s="24" t="n">
        <x:v>64.09</x:v>
      </x:c>
      <x:c r="N147" s="24" t="n">
        <x:v>64.09</x:v>
      </x:c>
      <x:c r="O147" t="str">
        <x:v>Paid</x:v>
      </x:c>
      <x:c r="P147" t="str">
        <x:v>Delivered</x:v>
      </x:c>
      <x:c r="Q147" t="str">
        <x:f>IF(COUNTIF($A$2:$A$241,A147)&gt;1,"DUPLICATE","")</x:f>
      </x:c>
      <x:c r="R147" t="str">
        <x:f>IF(OR(A147="",B147="",C147="",D147="",E147=""),"MISSING","")</x:f>
      </x:c>
      <x:c r="S147" t="str">
        <x:f>IF(COUNTIF('Product Master'!$A$2:$A$9,D147)=0,"INVALID SKU","")</x:f>
      </x:c>
      <x:c r="T147" s="24" t="n">
        <x:f>N147-M147</x:f>
        <x:v>0</x:v>
      </x:c>
      <x:c r="U147" t="str">
        <x:f>IF(AND(K147&gt;0,O147="Paid"),"REFUND STATUS","")</x:f>
      </x:c>
      <x:c r="V147" t="n">
        <x:f>IF(Q147&lt;&gt;"",1,0)+IF(R147&lt;&gt;"",1,0)+IF(S147&lt;&gt;"",1,0)+IF(ABS(T147)&gt;0.01,1,0)+IF(U147&lt;&gt;"",1,0)</x:f>
        <x:v>0</x:v>
      </x:c>
      <x:c r="W147" t="str">
        <x:f>IF(V147=0,"PASS","REVIEW")</x:f>
        <x:v>PASS</x:v>
      </x:c>
    </x:row>
    <x:row r="148">
      <x:c r="A148" t="str">
        <x:v>ORD-5147</x:v>
      </x:c>
      <x:c r="B148" s="26" t="n">
        <x:v>46168</x:v>
      </x:c>
      <x:c r="C148" t="str">
        <x:v>C-1012</x:v>
      </x:c>
      <x:c r="D148" t="str">
        <x:v>SKU-103</x:v>
      </x:c>
      <x:c r="E148" t="n">
        <x:v>3</x:v>
      </x:c>
      <x:c r="F148" s="24" t="n">
        <x:v>16</x:v>
      </x:c>
      <x:c r="G148" s="24" t="n">
        <x:v>48</x:v>
      </x:c>
      <x:c r="H148" s="24" t="n">
        <x:v>0</x:v>
      </x:c>
      <x:c r="I148" s="24" t="n">
        <x:v>2.88</x:v>
      </x:c>
      <x:c r="J148" s="24" t="n">
        <x:v>6.95</x:v>
      </x:c>
      <x:c r="K148" s="24" t="n">
        <x:v>0</x:v>
      </x:c>
      <x:c r="L148" s="24" t="n">
        <x:v>1.98</x:v>
      </x:c>
      <x:c r="M148" s="24" t="n">
        <x:v>55.85</x:v>
      </x:c>
      <x:c r="N148" s="24" t="n">
        <x:v>55.85</x:v>
      </x:c>
      <x:c r="O148" t="str">
        <x:v>Paid</x:v>
      </x:c>
      <x:c r="P148" t="str">
        <x:v>Delivered</x:v>
      </x:c>
      <x:c r="Q148" t="str">
        <x:f>IF(COUNTIF($A$2:$A$241,A148)&gt;1,"DUPLICATE","")</x:f>
      </x:c>
      <x:c r="R148" t="str">
        <x:f>IF(OR(A148="",B148="",C148="",D148="",E148=""),"MISSING","")</x:f>
      </x:c>
      <x:c r="S148" t="str">
        <x:f>IF(COUNTIF('Product Master'!$A$2:$A$9,D148)=0,"INVALID SKU","")</x:f>
      </x:c>
      <x:c r="T148" s="24" t="n">
        <x:f>N148-M148</x:f>
        <x:v>0</x:v>
      </x:c>
      <x:c r="U148" t="str">
        <x:f>IF(AND(K148&gt;0,O148="Paid"),"REFUND STATUS","")</x:f>
      </x:c>
      <x:c r="V148" t="n">
        <x:f>IF(Q148&lt;&gt;"",1,0)+IF(R148&lt;&gt;"",1,0)+IF(S148&lt;&gt;"",1,0)+IF(ABS(T148)&gt;0.01,1,0)+IF(U148&lt;&gt;"",1,0)</x:f>
        <x:v>0</x:v>
      </x:c>
      <x:c r="W148" t="str">
        <x:f>IF(V148=0,"PASS","REVIEW")</x:f>
        <x:v>PASS</x:v>
      </x:c>
    </x:row>
    <x:row r="149">
      <x:c r="A149" t="str">
        <x:v>ORD-5148</x:v>
      </x:c>
      <x:c r="B149" s="26" t="n">
        <x:v>46169</x:v>
      </x:c>
      <x:c r="C149" t="str">
        <x:v>C-1013</x:v>
      </x:c>
      <x:c r="D149" t="str">
        <x:v>SKU-104</x:v>
      </x:c>
      <x:c r="E149" t="n">
        <x:v>1</x:v>
      </x:c>
      <x:c r="F149" s="24" t="n">
        <x:v>58</x:v>
      </x:c>
      <x:c r="G149" s="24" t="n">
        <x:v>58</x:v>
      </x:c>
      <x:c r="H149" s="24" t="n">
        <x:v>0</x:v>
      </x:c>
      <x:c r="I149" s="24" t="n">
        <x:v>3.48</x:v>
      </x:c>
      <x:c r="J149" s="24" t="n">
        <x:v>6.95</x:v>
      </x:c>
      <x:c r="K149" s="24" t="n">
        <x:v>0</x:v>
      </x:c>
      <x:c r="L149" s="24" t="n">
        <x:v>2.28</x:v>
      </x:c>
      <x:c r="M149" s="24" t="n">
        <x:v>66.15</x:v>
      </x:c>
      <x:c r="N149" s="24" t="n">
        <x:v>66.15</x:v>
      </x:c>
      <x:c r="O149" t="str">
        <x:v>Paid</x:v>
      </x:c>
      <x:c r="P149" t="str">
        <x:v>Delivered</x:v>
      </x:c>
      <x:c r="Q149" t="str">
        <x:f>IF(COUNTIF($A$2:$A$241,A149)&gt;1,"DUPLICATE","")</x:f>
      </x:c>
      <x:c r="R149" t="str">
        <x:f>IF(OR(A149="",B149="",C149="",D149="",E149=""),"MISSING","")</x:f>
      </x:c>
      <x:c r="S149" t="str">
        <x:f>IF(COUNTIF('Product Master'!$A$2:$A$9,D149)=0,"INVALID SKU","")</x:f>
      </x:c>
      <x:c r="T149" s="24" t="n">
        <x:f>N149-M149</x:f>
        <x:v>0</x:v>
      </x:c>
      <x:c r="U149" t="str">
        <x:f>IF(AND(K149&gt;0,O149="Paid"),"REFUND STATUS","")</x:f>
      </x:c>
      <x:c r="V149" t="n">
        <x:f>IF(Q149&lt;&gt;"",1,0)+IF(R149&lt;&gt;"",1,0)+IF(S149&lt;&gt;"",1,0)+IF(ABS(T149)&gt;0.01,1,0)+IF(U149&lt;&gt;"",1,0)</x:f>
        <x:v>0</x:v>
      </x:c>
      <x:c r="W149" t="str">
        <x:f>IF(V149=0,"PASS","REVIEW")</x:f>
        <x:v>PASS</x:v>
      </x:c>
    </x:row>
    <x:row r="150">
      <x:c r="A150" t="str">
        <x:v>ORD-5149</x:v>
      </x:c>
      <x:c r="B150" s="26" t="n">
        <x:v>46170</x:v>
      </x:c>
      <x:c r="C150" t="str">
        <x:v>C-1014</x:v>
      </x:c>
      <x:c r="D150" t="str">
        <x:v>SKU-105</x:v>
      </x:c>
      <x:c r="E150" t="n">
        <x:v>2</x:v>
      </x:c>
      <x:c r="F150" s="24" t="n">
        <x:v>32</x:v>
      </x:c>
      <x:c r="G150" s="24" t="n">
        <x:v>64</x:v>
      </x:c>
      <x:c r="H150" s="24" t="n">
        <x:v>0</x:v>
      </x:c>
      <x:c r="I150" s="24" t="n">
        <x:v>3.84</x:v>
      </x:c>
      <x:c r="J150" s="24" t="n">
        <x:v>0</x:v>
      </x:c>
      <x:c r="K150" s="24" t="n">
        <x:v>0</x:v>
      </x:c>
      <x:c r="L150" s="24" t="n">
        <x:v>2.27</x:v>
      </x:c>
      <x:c r="M150" s="24" t="n">
        <x:v>65.57</x:v>
      </x:c>
      <x:c r="N150" s="24" t="n">
        <x:v>65.57</x:v>
      </x:c>
      <x:c r="O150" t="str">
        <x:v>Paid</x:v>
      </x:c>
      <x:c r="P150" t="str">
        <x:v>Delivered</x:v>
      </x:c>
      <x:c r="Q150" t="str">
        <x:f>IF(COUNTIF($A$2:$A$241,A150)&gt;1,"DUPLICATE","")</x:f>
      </x:c>
      <x:c r="R150" t="str">
        <x:f>IF(OR(A150="",B150="",C150="",D150="",E150=""),"MISSING","")</x:f>
      </x:c>
      <x:c r="S150" t="str">
        <x:f>IF(COUNTIF('Product Master'!$A$2:$A$9,D150)=0,"INVALID SKU","")</x:f>
      </x:c>
      <x:c r="T150" s="24" t="n">
        <x:f>N150-M150</x:f>
        <x:v>0</x:v>
      </x:c>
      <x:c r="U150" t="str">
        <x:f>IF(AND(K150&gt;0,O150="Paid"),"REFUND STATUS","")</x:f>
      </x:c>
      <x:c r="V150" t="n">
        <x:f>IF(Q150&lt;&gt;"",1,0)+IF(R150&lt;&gt;"",1,0)+IF(S150&lt;&gt;"",1,0)+IF(ABS(T150)&gt;0.01,1,0)+IF(U150&lt;&gt;"",1,0)</x:f>
        <x:v>0</x:v>
      </x:c>
      <x:c r="W150" t="str">
        <x:f>IF(V150=0,"PASS","REVIEW")</x:f>
        <x:v>PASS</x:v>
      </x:c>
    </x:row>
    <x:row r="151">
      <x:c r="A151" t="str">
        <x:v>ORD-5150</x:v>
      </x:c>
      <x:c r="B151" s="26" t="n">
        <x:v>46171</x:v>
      </x:c>
      <x:c r="C151" t="str">
        <x:v>C-1015</x:v>
      </x:c>
      <x:c r="D151" t="str">
        <x:v>SKU-106</x:v>
      </x:c>
      <x:c r="E151" t="n">
        <x:v>3</x:v>
      </x:c>
      <x:c r="F151" s="24" t="n">
        <x:v>36</x:v>
      </x:c>
      <x:c r="G151" s="24" t="n">
        <x:v>108</x:v>
      </x:c>
      <x:c r="H151" s="24" t="n">
        <x:v>0</x:v>
      </x:c>
      <x:c r="I151" s="24" t="n">
        <x:v>6.48</x:v>
      </x:c>
      <x:c r="J151" s="24" t="n">
        <x:v>0</x:v>
      </x:c>
      <x:c r="K151" s="24" t="n">
        <x:v>0</x:v>
      </x:c>
      <x:c r="L151" s="24" t="n">
        <x:v>3.62</x:v>
      </x:c>
      <x:c r="M151" s="24" t="n">
        <x:v>110.86</x:v>
      </x:c>
      <x:c r="N151" s="24" t="n">
        <x:v>110.86</x:v>
      </x:c>
      <x:c r="O151" t="str">
        <x:v>Paid</x:v>
      </x:c>
      <x:c r="P151" t="str">
        <x:v>Delivered</x:v>
      </x:c>
      <x:c r="Q151" t="str">
        <x:f>IF(COUNTIF($A$2:$A$241,A151)&gt;1,"DUPLICATE","")</x:f>
      </x:c>
      <x:c r="R151" t="str">
        <x:f>IF(OR(A151="",B151="",C151="",D151="",E151=""),"MISSING","")</x:f>
      </x:c>
      <x:c r="S151" t="str">
        <x:f>IF(COUNTIF('Product Master'!$A$2:$A$9,D151)=0,"INVALID SKU","")</x:f>
      </x:c>
      <x:c r="T151" s="24" t="n">
        <x:f>N151-M151</x:f>
        <x:v>0</x:v>
      </x:c>
      <x:c r="U151" t="str">
        <x:f>IF(AND(K151&gt;0,O151="Paid"),"REFUND STATUS","")</x:f>
      </x:c>
      <x:c r="V151" t="n">
        <x:f>IF(Q151&lt;&gt;"",1,0)+IF(R151&lt;&gt;"",1,0)+IF(S151&lt;&gt;"",1,0)+IF(ABS(T151)&gt;0.01,1,0)+IF(U151&lt;&gt;"",1,0)</x:f>
        <x:v>0</x:v>
      </x:c>
      <x:c r="W151" t="str">
        <x:f>IF(V151=0,"PASS","REVIEW")</x:f>
        <x:v>PASS</x:v>
      </x:c>
    </x:row>
    <x:row r="152">
      <x:c r="A152" t="str">
        <x:v>ORD-5151</x:v>
      </x:c>
      <x:c r="B152" s="26" t="n">
        <x:v>46172</x:v>
      </x:c>
      <x:c r="C152" t="str">
        <x:v>C-1016</x:v>
      </x:c>
      <x:c r="D152" t="str">
        <x:v>SKU-107</x:v>
      </x:c>
      <x:c r="E152" t="n">
        <x:v>1</x:v>
      </x:c>
      <x:c r="F152" s="24" t="n">
        <x:v>9</x:v>
      </x:c>
      <x:c r="G152" s="24" t="n">
        <x:v>9</x:v>
      </x:c>
      <x:c r="H152" s="24" t="n">
        <x:v>0</x:v>
      </x:c>
      <x:c r="I152" s="24" t="n">
        <x:v>0.54</x:v>
      </x:c>
      <x:c r="J152" s="24" t="n">
        <x:v>6.95</x:v>
      </x:c>
      <x:c r="K152" s="24" t="n">
        <x:v>0</x:v>
      </x:c>
      <x:c r="L152" s="24" t="n">
        <x:v>0.78</x:v>
      </x:c>
      <x:c r="M152" s="24" t="n">
        <x:v>15.71</x:v>
      </x:c>
      <x:c r="N152" s="24" t="n">
        <x:v>15.71</x:v>
      </x:c>
      <x:c r="O152" t="str">
        <x:v>Paid</x:v>
      </x:c>
      <x:c r="P152" t="str">
        <x:v>Delivered</x:v>
      </x:c>
      <x:c r="Q152" t="str">
        <x:f>IF(COUNTIF($A$2:$A$241,A152)&gt;1,"DUPLICATE","")</x:f>
      </x:c>
      <x:c r="R152" t="str">
        <x:f>IF(OR(A152="",B152="",C152="",D152="",E152=""),"MISSING","")</x:f>
      </x:c>
      <x:c r="S152" t="str">
        <x:f>IF(COUNTIF('Product Master'!$A$2:$A$9,D152)=0,"INVALID SKU","")</x:f>
      </x:c>
      <x:c r="T152" s="24" t="n">
        <x:f>N152-M152</x:f>
        <x:v>0</x:v>
      </x:c>
      <x:c r="U152" t="str">
        <x:f>IF(AND(K152&gt;0,O152="Paid"),"REFUND STATUS","")</x:f>
      </x:c>
      <x:c r="V152" t="n">
        <x:f>IF(Q152&lt;&gt;"",1,0)+IF(R152&lt;&gt;"",1,0)+IF(S152&lt;&gt;"",1,0)+IF(ABS(T152)&gt;0.01,1,0)+IF(U152&lt;&gt;"",1,0)</x:f>
        <x:v>0</x:v>
      </x:c>
      <x:c r="W152" t="str">
        <x:f>IF(V152=0,"PASS","REVIEW")</x:f>
        <x:v>PASS</x:v>
      </x:c>
    </x:row>
    <x:row r="153">
      <x:c r="A153" t="str">
        <x:v>ORD-5152</x:v>
      </x:c>
      <x:c r="B153" s="26" t="n">
        <x:v>46173</x:v>
      </x:c>
      <x:c r="C153" t="str">
        <x:v>C-1017</x:v>
      </x:c>
      <x:c r="D153" t="str">
        <x:v>SKU-108</x:v>
      </x:c>
      <x:c r="E153" t="n">
        <x:v>2</x:v>
      </x:c>
      <x:c r="F153" s="24" t="n">
        <x:v>42</x:v>
      </x:c>
      <x:c r="G153" s="24" t="n">
        <x:v>84</x:v>
      </x:c>
      <x:c r="H153" s="24" t="n">
        <x:v>0</x:v>
      </x:c>
      <x:c r="I153" s="24" t="n">
        <x:v>5.04</x:v>
      </x:c>
      <x:c r="J153" s="24" t="n">
        <x:v>0</x:v>
      </x:c>
      <x:c r="K153" s="24" t="n">
        <x:v>0</x:v>
      </x:c>
      <x:c r="L153" s="24" t="n">
        <x:v>2.88</x:v>
      </x:c>
      <x:c r="M153" s="24" t="n">
        <x:v>86.16</x:v>
      </x:c>
      <x:c r="N153" s="24" t="n">
        <x:v>86.16</x:v>
      </x:c>
      <x:c r="O153" t="str">
        <x:v>Paid</x:v>
      </x:c>
      <x:c r="P153" t="str">
        <x:v>Delivered</x:v>
      </x:c>
      <x:c r="Q153" t="str">
        <x:f>IF(COUNTIF($A$2:$A$241,A153)&gt;1,"DUPLICATE","")</x:f>
      </x:c>
      <x:c r="R153" t="str">
        <x:f>IF(OR(A153="",B153="",C153="",D153="",E153=""),"MISSING","")</x:f>
      </x:c>
      <x:c r="S153" t="str">
        <x:f>IF(COUNTIF('Product Master'!$A$2:$A$9,D153)=0,"INVALID SKU","")</x:f>
      </x:c>
      <x:c r="T153" s="24" t="n">
        <x:f>N153-M153</x:f>
        <x:v>0</x:v>
      </x:c>
      <x:c r="U153" t="str">
        <x:f>IF(AND(K153&gt;0,O153="Paid"),"REFUND STATUS","")</x:f>
      </x:c>
      <x:c r="V153" t="n">
        <x:f>IF(Q153&lt;&gt;"",1,0)+IF(R153&lt;&gt;"",1,0)+IF(S153&lt;&gt;"",1,0)+IF(ABS(T153)&gt;0.01,1,0)+IF(U153&lt;&gt;"",1,0)</x:f>
        <x:v>0</x:v>
      </x:c>
      <x:c r="W153" t="str">
        <x:f>IF(V153=0,"PASS","REVIEW")</x:f>
        <x:v>PASS</x:v>
      </x:c>
    </x:row>
    <x:row r="154">
      <x:c r="A154" t="str">
        <x:v>ORD-5153</x:v>
      </x:c>
      <x:c r="B154" s="26" t="n">
        <x:v>46174</x:v>
      </x:c>
      <x:c r="C154" t="str">
        <x:v>C-1018</x:v>
      </x:c>
      <x:c r="D154" t="str">
        <x:v>SKU-101</x:v>
      </x:c>
      <x:c r="E154" t="n">
        <x:v>3</x:v>
      </x:c>
      <x:c r="F154" s="24" t="n">
        <x:v>24</x:v>
      </x:c>
      <x:c r="G154" s="24" t="n">
        <x:v>72</x:v>
      </x:c>
      <x:c r="H154" s="24" t="n">
        <x:v>0</x:v>
      </x:c>
      <x:c r="I154" s="24" t="n">
        <x:v>4.32</x:v>
      </x:c>
      <x:c r="J154" s="24" t="n">
        <x:v>0</x:v>
      </x:c>
      <x:c r="K154" s="24" t="n">
        <x:v>0</x:v>
      </x:c>
      <x:c r="L154" s="24" t="n">
        <x:v>2.51</x:v>
      </x:c>
      <x:c r="M154" s="24" t="n">
        <x:v>73.81</x:v>
      </x:c>
      <x:c r="N154" s="24" t="n">
        <x:v>73.81</x:v>
      </x:c>
      <x:c r="O154" t="str">
        <x:v>Paid</x:v>
      </x:c>
      <x:c r="P154" t="str">
        <x:v>Delivered</x:v>
      </x:c>
      <x:c r="Q154" t="str">
        <x:f>IF(COUNTIF($A$2:$A$241,A154)&gt;1,"DUPLICATE","")</x:f>
      </x:c>
      <x:c r="R154" t="str">
        <x:f>IF(OR(A154="",B154="",C154="",D154="",E154=""),"MISSING","")</x:f>
      </x:c>
      <x:c r="S154" t="str">
        <x:f>IF(COUNTIF('Product Master'!$A$2:$A$9,D154)=0,"INVALID SKU","")</x:f>
      </x:c>
      <x:c r="T154" s="24" t="n">
        <x:f>N154-M154</x:f>
        <x:v>0</x:v>
      </x:c>
      <x:c r="U154" t="str">
        <x:f>IF(AND(K154&gt;0,O154="Paid"),"REFUND STATUS","")</x:f>
      </x:c>
      <x:c r="V154" t="n">
        <x:f>IF(Q154&lt;&gt;"",1,0)+IF(R154&lt;&gt;"",1,0)+IF(S154&lt;&gt;"",1,0)+IF(ABS(T154)&gt;0.01,1,0)+IF(U154&lt;&gt;"",1,0)</x:f>
        <x:v>0</x:v>
      </x:c>
      <x:c r="W154" t="str">
        <x:f>IF(V154=0,"PASS","REVIEW")</x:f>
        <x:v>PASS</x:v>
      </x:c>
    </x:row>
    <x:row r="155">
      <x:c r="A155" t="str">
        <x:v>ORD-5154</x:v>
      </x:c>
      <x:c r="B155" s="26" t="n">
        <x:v>46175</x:v>
      </x:c>
      <x:c r="C155" t="str">
        <x:v>C-1019</x:v>
      </x:c>
      <x:c r="D155" t="str">
        <x:v>SKU-102</x:v>
      </x:c>
      <x:c r="E155" t="n">
        <x:v>1</x:v>
      </x:c>
      <x:c r="F155" s="24" t="n">
        <x:v>28</x:v>
      </x:c>
      <x:c r="G155" s="24" t="n">
        <x:v>28</x:v>
      </x:c>
      <x:c r="H155" s="24" t="n">
        <x:v>2.8</x:v>
      </x:c>
      <x:c r="I155" s="24" t="n">
        <x:v>1.51</x:v>
      </x:c>
      <x:c r="J155" s="24" t="n">
        <x:v>6.95</x:v>
      </x:c>
      <x:c r="K155" s="24" t="n">
        <x:v>0</x:v>
      </x:c>
      <x:c r="L155" s="24" t="n">
        <x:v>1.28</x:v>
      </x:c>
      <x:c r="M155" s="24" t="n">
        <x:v>32.38</x:v>
      </x:c>
      <x:c r="N155" s="24" t="n">
        <x:v>32.38</x:v>
      </x:c>
      <x:c r="O155" t="str">
        <x:v>Paid</x:v>
      </x:c>
      <x:c r="P155" t="str">
        <x:v>Delivered</x:v>
      </x:c>
      <x:c r="Q155" t="str">
        <x:f>IF(COUNTIF($A$2:$A$241,A155)&gt;1,"DUPLICATE","")</x:f>
      </x:c>
      <x:c r="R155" t="str">
        <x:f>IF(OR(A155="",B155="",C155="",D155="",E155=""),"MISSING","")</x:f>
      </x:c>
      <x:c r="S155" t="str">
        <x:f>IF(COUNTIF('Product Master'!$A$2:$A$9,D155)=0,"INVALID SKU","")</x:f>
      </x:c>
      <x:c r="T155" s="24" t="n">
        <x:f>N155-M155</x:f>
        <x:v>0</x:v>
      </x:c>
      <x:c r="U155" t="str">
        <x:f>IF(AND(K155&gt;0,O155="Paid"),"REFUND STATUS","")</x:f>
      </x:c>
      <x:c r="V155" t="n">
        <x:f>IF(Q155&lt;&gt;"",1,0)+IF(R155&lt;&gt;"",1,0)+IF(S155&lt;&gt;"",1,0)+IF(ABS(T155)&gt;0.01,1,0)+IF(U155&lt;&gt;"",1,0)</x:f>
        <x:v>0</x:v>
      </x:c>
      <x:c r="W155" t="str">
        <x:f>IF(V155=0,"PASS","REVIEW")</x:f>
        <x:v>PASS</x:v>
      </x:c>
    </x:row>
    <x:row r="156">
      <x:c r="A156" t="str">
        <x:v>ORD-5155</x:v>
      </x:c>
      <x:c r="B156" s="26" t="n">
        <x:v>46176</x:v>
      </x:c>
      <x:c r="C156" t="str">
        <x:v>C-1020</x:v>
      </x:c>
      <x:c r="D156" t="str">
        <x:v>SKU-103</x:v>
      </x:c>
      <x:c r="E156" t="n">
        <x:v>2</x:v>
      </x:c>
      <x:c r="F156" s="24" t="n">
        <x:v>16</x:v>
      </x:c>
      <x:c r="G156" s="24" t="n">
        <x:v>32</x:v>
      </x:c>
      <x:c r="H156" s="24" t="n">
        <x:v>0</x:v>
      </x:c>
      <x:c r="I156" s="24" t="n">
        <x:v>1.92</x:v>
      </x:c>
      <x:c r="J156" s="24" t="n">
        <x:v>6.95</x:v>
      </x:c>
      <x:c r="K156" s="24" t="n">
        <x:v>0</x:v>
      </x:c>
      <x:c r="L156" s="24" t="n">
        <x:v>1.49</x:v>
      </x:c>
      <x:c r="M156" s="24" t="n">
        <x:v>39.38</x:v>
      </x:c>
      <x:c r="N156" s="24" t="n">
        <x:v>39.38</x:v>
      </x:c>
      <x:c r="O156" t="str">
        <x:v>Paid</x:v>
      </x:c>
      <x:c r="P156" t="str">
        <x:v>Delivered</x:v>
      </x:c>
      <x:c r="Q156" t="str">
        <x:f>IF(COUNTIF($A$2:$A$241,A156)&gt;1,"DUPLICATE","")</x:f>
      </x:c>
      <x:c r="R156" t="str">
        <x:f>IF(OR(A156="",B156="",C156="",D156="",E156=""),"MISSING","")</x:f>
      </x:c>
      <x:c r="S156" t="str">
        <x:f>IF(COUNTIF('Product Master'!$A$2:$A$9,D156)=0,"INVALID SKU","")</x:f>
      </x:c>
      <x:c r="T156" s="24" t="n">
        <x:f>N156-M156</x:f>
        <x:v>0</x:v>
      </x:c>
      <x:c r="U156" t="str">
        <x:f>IF(AND(K156&gt;0,O156="Paid"),"REFUND STATUS","")</x:f>
      </x:c>
      <x:c r="V156" t="n">
        <x:f>IF(Q156&lt;&gt;"",1,0)+IF(R156&lt;&gt;"",1,0)+IF(S156&lt;&gt;"",1,0)+IF(ABS(T156)&gt;0.01,1,0)+IF(U156&lt;&gt;"",1,0)</x:f>
        <x:v>0</x:v>
      </x:c>
      <x:c r="W156" t="str">
        <x:f>IF(V156=0,"PASS","REVIEW")</x:f>
        <x:v>PASS</x:v>
      </x:c>
    </x:row>
    <x:row r="157">
      <x:c r="A157" t="str">
        <x:v>ORD-5156</x:v>
      </x:c>
      <x:c r="B157" s="26" t="n">
        <x:v>46177</x:v>
      </x:c>
      <x:c r="C157" t="str">
        <x:v>C-1021</x:v>
      </x:c>
      <x:c r="D157" t="str">
        <x:v>SKU-104</x:v>
      </x:c>
      <x:c r="E157" t="n">
        <x:v>3</x:v>
      </x:c>
      <x:c r="F157" s="24" t="n">
        <x:v>58</x:v>
      </x:c>
      <x:c r="G157" s="24" t="n">
        <x:v>174</x:v>
      </x:c>
      <x:c r="H157" s="24" t="n">
        <x:v>0</x:v>
      </x:c>
      <x:c r="I157" s="24" t="n">
        <x:v>10.44</x:v>
      </x:c>
      <x:c r="J157" s="24" t="n">
        <x:v>0</x:v>
      </x:c>
      <x:c r="K157" s="24" t="n">
        <x:v>0</x:v>
      </x:c>
      <x:c r="L157" s="24" t="n">
        <x:v>5.65</x:v>
      </x:c>
      <x:c r="M157" s="24" t="n">
        <x:v>178.79</x:v>
      </x:c>
      <x:c r="N157" s="24" t="n">
        <x:v>178.79</x:v>
      </x:c>
      <x:c r="O157" t="str">
        <x:v>Paid</x:v>
      </x:c>
      <x:c r="P157" t="str">
        <x:v>Delivered</x:v>
      </x:c>
      <x:c r="Q157" t="str">
        <x:f>IF(COUNTIF($A$2:$A$241,A157)&gt;1,"DUPLICATE","")</x:f>
      </x:c>
      <x:c r="R157" t="str">
        <x:f>IF(OR(A157="",B157="",C157="",D157="",E157=""),"MISSING","")</x:f>
      </x:c>
      <x:c r="S157" t="str">
        <x:f>IF(COUNTIF('Product Master'!$A$2:$A$9,D157)=0,"INVALID SKU","")</x:f>
      </x:c>
      <x:c r="T157" s="24" t="n">
        <x:f>N157-M157</x:f>
        <x:v>0</x:v>
      </x:c>
      <x:c r="U157" t="str">
        <x:f>IF(AND(K157&gt;0,O157="Paid"),"REFUND STATUS","")</x:f>
      </x:c>
      <x:c r="V157" t="n">
        <x:f>IF(Q157&lt;&gt;"",1,0)+IF(R157&lt;&gt;"",1,0)+IF(S157&lt;&gt;"",1,0)+IF(ABS(T157)&gt;0.01,1,0)+IF(U157&lt;&gt;"",1,0)</x:f>
        <x:v>0</x:v>
      </x:c>
      <x:c r="W157" t="str">
        <x:f>IF(V157=0,"PASS","REVIEW")</x:f>
        <x:v>PASS</x:v>
      </x:c>
    </x:row>
    <x:row r="158">
      <x:c r="A158" t="str">
        <x:v>ORD-5157</x:v>
      </x:c>
      <x:c r="B158" s="26" t="n">
        <x:v>46178</x:v>
      </x:c>
      <x:c r="C158" t="str">
        <x:v>C-1022</x:v>
      </x:c>
      <x:c r="D158" t="str">
        <x:v>SKU-105</x:v>
      </x:c>
      <x:c r="E158" t="n">
        <x:v>1</x:v>
      </x:c>
      <x:c r="F158" s="24" t="n">
        <x:v>32</x:v>
      </x:c>
      <x:c r="G158" s="24" t="n">
        <x:v>32</x:v>
      </x:c>
      <x:c r="H158" s="24" t="n">
        <x:v>0</x:v>
      </x:c>
      <x:c r="I158" s="24" t="n">
        <x:v>1.92</x:v>
      </x:c>
      <x:c r="J158" s="24" t="n">
        <x:v>6.95</x:v>
      </x:c>
      <x:c r="K158" s="24" t="n">
        <x:v>0</x:v>
      </x:c>
      <x:c r="L158" s="24" t="n">
        <x:v>1.49</x:v>
      </x:c>
      <x:c r="M158" s="24" t="n">
        <x:v>39.38</x:v>
      </x:c>
      <x:c r="N158" s="24" t="n">
        <x:v>39.38</x:v>
      </x:c>
      <x:c r="O158" t="str">
        <x:v>Paid</x:v>
      </x:c>
      <x:c r="P158" t="str">
        <x:v>Delivered</x:v>
      </x:c>
      <x:c r="Q158" t="str">
        <x:f>IF(COUNTIF($A$2:$A$241,A158)&gt;1,"DUPLICATE","")</x:f>
      </x:c>
      <x:c r="R158" t="str">
        <x:f>IF(OR(A158="",B158="",C158="",D158="",E158=""),"MISSING","")</x:f>
      </x:c>
      <x:c r="S158" t="str">
        <x:f>IF(COUNTIF('Product Master'!$A$2:$A$9,D158)=0,"INVALID SKU","")</x:f>
      </x:c>
      <x:c r="T158" s="24" t="n">
        <x:f>N158-M158</x:f>
        <x:v>0</x:v>
      </x:c>
      <x:c r="U158" t="str">
        <x:f>IF(AND(K158&gt;0,O158="Paid"),"REFUND STATUS","")</x:f>
      </x:c>
      <x:c r="V158" t="n">
        <x:f>IF(Q158&lt;&gt;"",1,0)+IF(R158&lt;&gt;"",1,0)+IF(S158&lt;&gt;"",1,0)+IF(ABS(T158)&gt;0.01,1,0)+IF(U158&lt;&gt;"",1,0)</x:f>
        <x:v>0</x:v>
      </x:c>
      <x:c r="W158" t="str">
        <x:f>IF(V158=0,"PASS","REVIEW")</x:f>
        <x:v>PASS</x:v>
      </x:c>
    </x:row>
    <x:row r="159">
      <x:c r="A159" t="str">
        <x:v>ORD-5158</x:v>
      </x:c>
      <x:c r="B159" s="26" t="n">
        <x:v>46179</x:v>
      </x:c>
      <x:c r="C159" t="str">
        <x:v>C-1023</x:v>
      </x:c>
      <x:c r="D159" t="str">
        <x:v>SKU-106</x:v>
      </x:c>
      <x:c r="E159" t="n">
        <x:v>2</x:v>
      </x:c>
      <x:c r="F159" s="24" t="n">
        <x:v>36</x:v>
      </x:c>
      <x:c r="G159" s="24" t="n">
        <x:v>72</x:v>
      </x:c>
      <x:c r="H159" s="24" t="n">
        <x:v>0</x:v>
      </x:c>
      <x:c r="I159" s="24" t="n">
        <x:v>4.32</x:v>
      </x:c>
      <x:c r="J159" s="24" t="n">
        <x:v>0</x:v>
      </x:c>
      <x:c r="K159" s="24" t="n">
        <x:v>0</x:v>
      </x:c>
      <x:c r="L159" s="24" t="n">
        <x:v>2.51</x:v>
      </x:c>
      <x:c r="M159" s="24" t="n">
        <x:v>73.81</x:v>
      </x:c>
      <x:c r="N159" s="24" t="n">
        <x:v>73.81</x:v>
      </x:c>
      <x:c r="O159" t="str">
        <x:v>Paid</x:v>
      </x:c>
      <x:c r="P159" t="str">
        <x:v>Delivered</x:v>
      </x:c>
      <x:c r="Q159" t="str">
        <x:f>IF(COUNTIF($A$2:$A$241,A159)&gt;1,"DUPLICATE","")</x:f>
      </x:c>
      <x:c r="R159" t="str">
        <x:f>IF(OR(A159="",B159="",C159="",D159="",E159=""),"MISSING","")</x:f>
      </x:c>
      <x:c r="S159" t="str">
        <x:f>IF(COUNTIF('Product Master'!$A$2:$A$9,D159)=0,"INVALID SKU","")</x:f>
      </x:c>
      <x:c r="T159" s="24" t="n">
        <x:f>N159-M159</x:f>
        <x:v>0</x:v>
      </x:c>
      <x:c r="U159" t="str">
        <x:f>IF(AND(K159&gt;0,O159="Paid"),"REFUND STATUS","")</x:f>
      </x:c>
      <x:c r="V159" t="n">
        <x:f>IF(Q159&lt;&gt;"",1,0)+IF(R159&lt;&gt;"",1,0)+IF(S159&lt;&gt;"",1,0)+IF(ABS(T159)&gt;0.01,1,0)+IF(U159&lt;&gt;"",1,0)</x:f>
        <x:v>0</x:v>
      </x:c>
      <x:c r="W159" t="str">
        <x:f>IF(V159=0,"PASS","REVIEW")</x:f>
        <x:v>PASS</x:v>
      </x:c>
    </x:row>
    <x:row r="160">
      <x:c r="A160" t="str">
        <x:v>ORD-5159</x:v>
      </x:c>
      <x:c r="B160" s="26" t="n">
        <x:v>46180</x:v>
      </x:c>
      <x:c r="C160" t="str">
        <x:v>C-1024</x:v>
      </x:c>
      <x:c r="D160" t="str">
        <x:v>SKU-107</x:v>
      </x:c>
      <x:c r="E160" t="n">
        <x:v>3</x:v>
      </x:c>
      <x:c r="F160" s="24" t="n">
        <x:v>9</x:v>
      </x:c>
      <x:c r="G160" s="24" t="n">
        <x:v>27</x:v>
      </x:c>
      <x:c r="H160" s="24" t="n">
        <x:v>0</x:v>
      </x:c>
      <x:c r="I160" s="24" t="n">
        <x:v>1.62</x:v>
      </x:c>
      <x:c r="J160" s="24" t="n">
        <x:v>6.95</x:v>
      </x:c>
      <x:c r="K160" s="24" t="n">
        <x:v>0</x:v>
      </x:c>
      <x:c r="L160" s="24" t="n">
        <x:v>1.33</x:v>
      </x:c>
      <x:c r="M160" s="24" t="n">
        <x:v>34.24</x:v>
      </x:c>
      <x:c r="N160" s="24" t="n">
        <x:v>34.24</x:v>
      </x:c>
      <x:c r="O160" t="str">
        <x:v>Paid</x:v>
      </x:c>
      <x:c r="P160" t="str">
        <x:v>Delivered</x:v>
      </x:c>
      <x:c r="Q160" t="str">
        <x:f>IF(COUNTIF($A$2:$A$241,A160)&gt;1,"DUPLICATE","")</x:f>
      </x:c>
      <x:c r="R160" t="str">
        <x:f>IF(OR(A160="",B160="",C160="",D160="",E160=""),"MISSING","")</x:f>
      </x:c>
      <x:c r="S160" t="str">
        <x:f>IF(COUNTIF('Product Master'!$A$2:$A$9,D160)=0,"INVALID SKU","")</x:f>
      </x:c>
      <x:c r="T160" s="24" t="n">
        <x:f>N160-M160</x:f>
        <x:v>0</x:v>
      </x:c>
      <x:c r="U160" t="str">
        <x:f>IF(AND(K160&gt;0,O160="Paid"),"REFUND STATUS","")</x:f>
      </x:c>
      <x:c r="V160" t="n">
        <x:f>IF(Q160&lt;&gt;"",1,0)+IF(R160&lt;&gt;"",1,0)+IF(S160&lt;&gt;"",1,0)+IF(ABS(T160)&gt;0.01,1,0)+IF(U160&lt;&gt;"",1,0)</x:f>
        <x:v>0</x:v>
      </x:c>
      <x:c r="W160" t="str">
        <x:f>IF(V160=0,"PASS","REVIEW")</x:f>
        <x:v>PASS</x:v>
      </x:c>
    </x:row>
    <x:row r="161">
      <x:c r="A161" t="str">
        <x:v>ORD-5160</x:v>
      </x:c>
      <x:c r="B161" s="26" t="n">
        <x:v>46181</x:v>
      </x:c>
      <x:c r="C161" t="str">
        <x:v>C-1025</x:v>
      </x:c>
      <x:c r="D161" t="str">
        <x:v>SKU-108</x:v>
      </x:c>
      <x:c r="E161" t="n">
        <x:v>1</x:v>
      </x:c>
      <x:c r="F161" s="24" t="n">
        <x:v>42</x:v>
      </x:c>
      <x:c r="G161" s="24" t="n">
        <x:v>42</x:v>
      </x:c>
      <x:c r="H161" s="24" t="n">
        <x:v>0</x:v>
      </x:c>
      <x:c r="I161" s="24" t="n">
        <x:v>2.52</x:v>
      </x:c>
      <x:c r="J161" s="24" t="n">
        <x:v>6.95</x:v>
      </x:c>
      <x:c r="K161" s="24" t="n">
        <x:v>0</x:v>
      </x:c>
      <x:c r="L161" s="24" t="n">
        <x:v>1.79</x:v>
      </x:c>
      <x:c r="M161" s="24" t="n">
        <x:v>49.68</x:v>
      </x:c>
      <x:c r="N161" s="24" t="n">
        <x:v>49.68</x:v>
      </x:c>
      <x:c r="O161" t="str">
        <x:v>Paid</x:v>
      </x:c>
      <x:c r="P161" t="str">
        <x:v>Delivered</x:v>
      </x:c>
      <x:c r="Q161" t="str">
        <x:f>IF(COUNTIF($A$2:$A$241,A161)&gt;1,"DUPLICATE","")</x:f>
      </x:c>
      <x:c r="R161" t="str">
        <x:f>IF(OR(A161="",B161="",C161="",D161="",E161=""),"MISSING","")</x:f>
      </x:c>
      <x:c r="S161" t="str">
        <x:f>IF(COUNTIF('Product Master'!$A$2:$A$9,D161)=0,"INVALID SKU","")</x:f>
      </x:c>
      <x:c r="T161" s="24" t="n">
        <x:f>N161-M161</x:f>
        <x:v>0</x:v>
      </x:c>
      <x:c r="U161" t="str">
        <x:f>IF(AND(K161&gt;0,O161="Paid"),"REFUND STATUS","")</x:f>
      </x:c>
      <x:c r="V161" t="n">
        <x:f>IF(Q161&lt;&gt;"",1,0)+IF(R161&lt;&gt;"",1,0)+IF(S161&lt;&gt;"",1,0)+IF(ABS(T161)&gt;0.01,1,0)+IF(U161&lt;&gt;"",1,0)</x:f>
        <x:v>0</x:v>
      </x:c>
      <x:c r="W161" t="str">
        <x:f>IF(V161=0,"PASS","REVIEW")</x:f>
        <x:v>PASS</x:v>
      </x:c>
    </x:row>
    <x:row r="162">
      <x:c r="A162" t="str">
        <x:v>ORD-5161</x:v>
      </x:c>
      <x:c r="B162" s="26" t="n">
        <x:v>46182</x:v>
      </x:c>
      <x:c r="C162" t="str">
        <x:v>C-1026</x:v>
      </x:c>
      <x:c r="D162" t="str">
        <x:v>SKU-101</x:v>
      </x:c>
      <x:c r="E162" t="n">
        <x:v>2</x:v>
      </x:c>
      <x:c r="F162" s="24" t="n">
        <x:v>24</x:v>
      </x:c>
      <x:c r="G162" s="24" t="n">
        <x:v>48</x:v>
      </x:c>
      <x:c r="H162" s="24" t="n">
        <x:v>0</x:v>
      </x:c>
      <x:c r="I162" s="24" t="n">
        <x:v>2.88</x:v>
      </x:c>
      <x:c r="J162" s="24" t="n">
        <x:v>6.95</x:v>
      </x:c>
      <x:c r="K162" s="24" t="n">
        <x:v>0</x:v>
      </x:c>
      <x:c r="L162" s="24" t="n">
        <x:v>1.98</x:v>
      </x:c>
      <x:c r="M162" s="24" t="n">
        <x:v>55.85</x:v>
      </x:c>
      <x:c r="N162" s="24" t="n">
        <x:v>55.85</x:v>
      </x:c>
      <x:c r="O162" t="str">
        <x:v>Paid</x:v>
      </x:c>
      <x:c r="P162" t="str">
        <x:v>Delivered</x:v>
      </x:c>
      <x:c r="Q162" t="str">
        <x:f>IF(COUNTIF($A$2:$A$241,A162)&gt;1,"DUPLICATE","")</x:f>
      </x:c>
      <x:c r="R162" t="str">
        <x:f>IF(OR(A162="",B162="",C162="",D162="",E162=""),"MISSING","")</x:f>
      </x:c>
      <x:c r="S162" t="str">
        <x:f>IF(COUNTIF('Product Master'!$A$2:$A$9,D162)=0,"INVALID SKU","")</x:f>
      </x:c>
      <x:c r="T162" s="24" t="n">
        <x:f>N162-M162</x:f>
        <x:v>0</x:v>
      </x:c>
      <x:c r="U162" t="str">
        <x:f>IF(AND(K162&gt;0,O162="Paid"),"REFUND STATUS","")</x:f>
      </x:c>
      <x:c r="V162" t="n">
        <x:f>IF(Q162&lt;&gt;"",1,0)+IF(R162&lt;&gt;"",1,0)+IF(S162&lt;&gt;"",1,0)+IF(ABS(T162)&gt;0.01,1,0)+IF(U162&lt;&gt;"",1,0)</x:f>
        <x:v>0</x:v>
      </x:c>
      <x:c r="W162" t="str">
        <x:f>IF(V162=0,"PASS","REVIEW")</x:f>
        <x:v>PASS</x:v>
      </x:c>
    </x:row>
    <x:row r="163">
      <x:c r="A163" t="str">
        <x:v>ORD-5162</x:v>
      </x:c>
      <x:c r="B163" s="26" t="n">
        <x:v>46183</x:v>
      </x:c>
      <x:c r="C163" t="str"/>
      <x:c r="D163" t="str">
        <x:v>SKU-102</x:v>
      </x:c>
      <x:c r="E163" t="n">
        <x:v>3</x:v>
      </x:c>
      <x:c r="F163" s="24" t="n">
        <x:v>28</x:v>
      </x:c>
      <x:c r="G163" s="24" t="n">
        <x:v>84</x:v>
      </x:c>
      <x:c r="H163" s="24" t="n">
        <x:v>0</x:v>
      </x:c>
      <x:c r="I163" s="24" t="n">
        <x:v>5.04</x:v>
      </x:c>
      <x:c r="J163" s="24" t="n">
        <x:v>0</x:v>
      </x:c>
      <x:c r="K163" s="24" t="n">
        <x:v>0</x:v>
      </x:c>
      <x:c r="L163" s="24" t="n">
        <x:v>2.88</x:v>
      </x:c>
      <x:c r="M163" s="24" t="n">
        <x:v>86.16</x:v>
      </x:c>
      <x:c r="N163" s="24" t="n">
        <x:v>86.16</x:v>
      </x:c>
      <x:c r="O163" t="str">
        <x:v>Paid</x:v>
      </x:c>
      <x:c r="P163" t="str">
        <x:v>Delivered</x:v>
      </x:c>
      <x:c r="Q163" t="str">
        <x:f>IF(COUNTIF($A$2:$A$241,A163)&gt;1,"DUPLICATE","")</x:f>
      </x:c>
      <x:c r="R163" t="str">
        <x:f>IF(OR(A163="",B163="",C163="",D163="",E163=""),"MISSING","")</x:f>
        <x:v>MISSING</x:v>
      </x:c>
      <x:c r="S163" t="str">
        <x:f>IF(COUNTIF('Product Master'!$A$2:$A$9,D163)=0,"INVALID SKU","")</x:f>
      </x:c>
      <x:c r="T163" s="24" t="n">
        <x:f>N163-M163</x:f>
        <x:v>0</x:v>
      </x:c>
      <x:c r="U163" t="str">
        <x:f>IF(AND(K163&gt;0,O163="Paid"),"REFUND STATUS","")</x:f>
      </x:c>
      <x:c r="V163" t="n">
        <x:f>IF(Q163&lt;&gt;"",1,0)+IF(R163&lt;&gt;"",1,0)+IF(S163&lt;&gt;"",1,0)+IF(ABS(T163)&gt;0.01,1,0)+IF(U163&lt;&gt;"",1,0)</x:f>
        <x:v>1</x:v>
      </x:c>
      <x:c r="W163" t="str">
        <x:f>IF(V163=0,"PASS","REVIEW")</x:f>
        <x:v>REVIEW</x:v>
      </x:c>
    </x:row>
    <x:row r="164">
      <x:c r="A164" t="str">
        <x:v>ORD-5163</x:v>
      </x:c>
      <x:c r="B164" s="26" t="n">
        <x:v>46184</x:v>
      </x:c>
      <x:c r="C164" t="str">
        <x:v>C-1028</x:v>
      </x:c>
      <x:c r="D164" t="str">
        <x:v>SKU-103</x:v>
      </x:c>
      <x:c r="E164" t="n">
        <x:v>1</x:v>
      </x:c>
      <x:c r="F164" s="24" t="n">
        <x:v>16</x:v>
      </x:c>
      <x:c r="G164" s="24" t="n">
        <x:v>16</x:v>
      </x:c>
      <x:c r="H164" s="24" t="n">
        <x:v>1.6</x:v>
      </x:c>
      <x:c r="I164" s="24" t="n">
        <x:v>0.86</x:v>
      </x:c>
      <x:c r="J164" s="24" t="n">
        <x:v>6.95</x:v>
      </x:c>
      <x:c r="K164" s="24" t="n">
        <x:v>0</x:v>
      </x:c>
      <x:c r="L164" s="24" t="n">
        <x:v>0.94</x:v>
      </x:c>
      <x:c r="M164" s="24" t="n">
        <x:v>21.27</x:v>
      </x:c>
      <x:c r="N164" s="24" t="n">
        <x:v>21.27</x:v>
      </x:c>
      <x:c r="O164" t="str">
        <x:v>Paid</x:v>
      </x:c>
      <x:c r="P164" t="str">
        <x:v>Delivered</x:v>
      </x:c>
      <x:c r="Q164" t="str">
        <x:f>IF(COUNTIF($A$2:$A$241,A164)&gt;1,"DUPLICATE","")</x:f>
      </x:c>
      <x:c r="R164" t="str">
        <x:f>IF(OR(A164="",B164="",C164="",D164="",E164=""),"MISSING","")</x:f>
      </x:c>
      <x:c r="S164" t="str">
        <x:f>IF(COUNTIF('Product Master'!$A$2:$A$9,D164)=0,"INVALID SKU","")</x:f>
      </x:c>
      <x:c r="T164" s="24" t="n">
        <x:f>N164-M164</x:f>
        <x:v>0</x:v>
      </x:c>
      <x:c r="U164" t="str">
        <x:f>IF(AND(K164&gt;0,O164="Paid"),"REFUND STATUS","")</x:f>
      </x:c>
      <x:c r="V164" t="n">
        <x:f>IF(Q164&lt;&gt;"",1,0)+IF(R164&lt;&gt;"",1,0)+IF(S164&lt;&gt;"",1,0)+IF(ABS(T164)&gt;0.01,1,0)+IF(U164&lt;&gt;"",1,0)</x:f>
        <x:v>0</x:v>
      </x:c>
      <x:c r="W164" t="str">
        <x:f>IF(V164=0,"PASS","REVIEW")</x:f>
        <x:v>PASS</x:v>
      </x:c>
    </x:row>
    <x:row r="165">
      <x:c r="A165" t="str">
        <x:v>ORD-5164</x:v>
      </x:c>
      <x:c r="B165" s="26" t="n">
        <x:v>46185</x:v>
      </x:c>
      <x:c r="C165" t="str">
        <x:v>C-1029</x:v>
      </x:c>
      <x:c r="D165" t="str">
        <x:v>SKU-104</x:v>
      </x:c>
      <x:c r="E165" t="n">
        <x:v>2</x:v>
      </x:c>
      <x:c r="F165" s="24" t="n">
        <x:v>58</x:v>
      </x:c>
      <x:c r="G165" s="24" t="n">
        <x:v>116</x:v>
      </x:c>
      <x:c r="H165" s="24" t="n">
        <x:v>0</x:v>
      </x:c>
      <x:c r="I165" s="24" t="n">
        <x:v>6.96</x:v>
      </x:c>
      <x:c r="J165" s="24" t="n">
        <x:v>0</x:v>
      </x:c>
      <x:c r="K165" s="24" t="n">
        <x:v>0</x:v>
      </x:c>
      <x:c r="L165" s="24" t="n">
        <x:v>3.87</x:v>
      </x:c>
      <x:c r="M165" s="24" t="n">
        <x:v>119.09</x:v>
      </x:c>
      <x:c r="N165" s="24" t="n">
        <x:v>119.09</x:v>
      </x:c>
      <x:c r="O165" t="str">
        <x:v>Paid</x:v>
      </x:c>
      <x:c r="P165" t="str">
        <x:v>Delivered</x:v>
      </x:c>
      <x:c r="Q165" t="str">
        <x:f>IF(COUNTIF($A$2:$A$241,A165)&gt;1,"DUPLICATE","")</x:f>
      </x:c>
      <x:c r="R165" t="str">
        <x:f>IF(OR(A165="",B165="",C165="",D165="",E165=""),"MISSING","")</x:f>
      </x:c>
      <x:c r="S165" t="str">
        <x:f>IF(COUNTIF('Product Master'!$A$2:$A$9,D165)=0,"INVALID SKU","")</x:f>
      </x:c>
      <x:c r="T165" s="24" t="n">
        <x:f>N165-M165</x:f>
        <x:v>0</x:v>
      </x:c>
      <x:c r="U165" t="str">
        <x:f>IF(AND(K165&gt;0,O165="Paid"),"REFUND STATUS","")</x:f>
      </x:c>
      <x:c r="V165" t="n">
        <x:f>IF(Q165&lt;&gt;"",1,0)+IF(R165&lt;&gt;"",1,0)+IF(S165&lt;&gt;"",1,0)+IF(ABS(T165)&gt;0.01,1,0)+IF(U165&lt;&gt;"",1,0)</x:f>
        <x:v>0</x:v>
      </x:c>
      <x:c r="W165" t="str">
        <x:f>IF(V165=0,"PASS","REVIEW")</x:f>
        <x:v>PASS</x:v>
      </x:c>
    </x:row>
    <x:row r="166">
      <x:c r="A166" t="str">
        <x:v>ORD-5165</x:v>
      </x:c>
      <x:c r="B166" s="26" t="n">
        <x:v>46186</x:v>
      </x:c>
      <x:c r="C166" t="str">
        <x:v>C-1030</x:v>
      </x:c>
      <x:c r="D166" t="str">
        <x:v>SKU-105</x:v>
      </x:c>
      <x:c r="E166" t="n">
        <x:v>3</x:v>
      </x:c>
      <x:c r="F166" s="24" t="n">
        <x:v>32</x:v>
      </x:c>
      <x:c r="G166" s="24" t="n">
        <x:v>96</x:v>
      </x:c>
      <x:c r="H166" s="24" t="n">
        <x:v>0</x:v>
      </x:c>
      <x:c r="I166" s="24" t="n">
        <x:v>5.76</x:v>
      </x:c>
      <x:c r="J166" s="24" t="n">
        <x:v>0</x:v>
      </x:c>
      <x:c r="K166" s="24" t="n">
        <x:v>0</x:v>
      </x:c>
      <x:c r="L166" s="24" t="n">
        <x:v>3.25</x:v>
      </x:c>
      <x:c r="M166" s="24" t="n">
        <x:v>98.51</x:v>
      </x:c>
      <x:c r="N166" s="24" t="n">
        <x:v>98.51</x:v>
      </x:c>
      <x:c r="O166" t="str">
        <x:v>Paid</x:v>
      </x:c>
      <x:c r="P166" t="str">
        <x:v>Delivered</x:v>
      </x:c>
      <x:c r="Q166" t="str">
        <x:f>IF(COUNTIF($A$2:$A$241,A166)&gt;1,"DUPLICATE","")</x:f>
      </x:c>
      <x:c r="R166" t="str">
        <x:f>IF(OR(A166="",B166="",C166="",D166="",E166=""),"MISSING","")</x:f>
      </x:c>
      <x:c r="S166" t="str">
        <x:f>IF(COUNTIF('Product Master'!$A$2:$A$9,D166)=0,"INVALID SKU","")</x:f>
      </x:c>
      <x:c r="T166" s="24" t="n">
        <x:f>N166-M166</x:f>
        <x:v>0</x:v>
      </x:c>
      <x:c r="U166" t="str">
        <x:f>IF(AND(K166&gt;0,O166="Paid"),"REFUND STATUS","")</x:f>
      </x:c>
      <x:c r="V166" t="n">
        <x:f>IF(Q166&lt;&gt;"",1,0)+IF(R166&lt;&gt;"",1,0)+IF(S166&lt;&gt;"",1,0)+IF(ABS(T166)&gt;0.01,1,0)+IF(U166&lt;&gt;"",1,0)</x:f>
        <x:v>0</x:v>
      </x:c>
      <x:c r="W166" t="str">
        <x:f>IF(V166=0,"PASS","REVIEW")</x:f>
        <x:v>PASS</x:v>
      </x:c>
    </x:row>
    <x:row r="167">
      <x:c r="A167" t="str">
        <x:v>ORD-5166</x:v>
      </x:c>
      <x:c r="B167" s="26" t="n">
        <x:v>46187</x:v>
      </x:c>
      <x:c r="C167" t="str">
        <x:v>C-1031</x:v>
      </x:c>
      <x:c r="D167" t="str">
        <x:v>SKU-106</x:v>
      </x:c>
      <x:c r="E167" t="n">
        <x:v>1</x:v>
      </x:c>
      <x:c r="F167" s="24" t="n">
        <x:v>36</x:v>
      </x:c>
      <x:c r="G167" s="24" t="n">
        <x:v>36</x:v>
      </x:c>
      <x:c r="H167" s="24" t="n">
        <x:v>0</x:v>
      </x:c>
      <x:c r="I167" s="24" t="n">
        <x:v>2.16</x:v>
      </x:c>
      <x:c r="J167" s="24" t="n">
        <x:v>6.95</x:v>
      </x:c>
      <x:c r="K167" s="24" t="n">
        <x:v>0</x:v>
      </x:c>
      <x:c r="L167" s="24" t="n">
        <x:v>1.61</x:v>
      </x:c>
      <x:c r="M167" s="24" t="n">
        <x:v>43.5</x:v>
      </x:c>
      <x:c r="N167" s="24" t="n">
        <x:v>43.5</x:v>
      </x:c>
      <x:c r="O167" t="str">
        <x:v>Paid</x:v>
      </x:c>
      <x:c r="P167" t="str">
        <x:v>Delivered</x:v>
      </x:c>
      <x:c r="Q167" t="str">
        <x:f>IF(COUNTIF($A$2:$A$241,A167)&gt;1,"DUPLICATE","")</x:f>
      </x:c>
      <x:c r="R167" t="str">
        <x:f>IF(OR(A167="",B167="",C167="",D167="",E167=""),"MISSING","")</x:f>
      </x:c>
      <x:c r="S167" t="str">
        <x:f>IF(COUNTIF('Product Master'!$A$2:$A$9,D167)=0,"INVALID SKU","")</x:f>
      </x:c>
      <x:c r="T167" s="24" t="n">
        <x:f>N167-M167</x:f>
        <x:v>0</x:v>
      </x:c>
      <x:c r="U167" t="str">
        <x:f>IF(AND(K167&gt;0,O167="Paid"),"REFUND STATUS","")</x:f>
      </x:c>
      <x:c r="V167" t="n">
        <x:f>IF(Q167&lt;&gt;"",1,0)+IF(R167&lt;&gt;"",1,0)+IF(S167&lt;&gt;"",1,0)+IF(ABS(T167)&gt;0.01,1,0)+IF(U167&lt;&gt;"",1,0)</x:f>
        <x:v>0</x:v>
      </x:c>
      <x:c r="W167" t="str">
        <x:f>IF(V167=0,"PASS","REVIEW")</x:f>
        <x:v>PASS</x:v>
      </x:c>
    </x:row>
    <x:row r="168">
      <x:c r="A168" t="str">
        <x:v>ORD-5167</x:v>
      </x:c>
      <x:c r="B168" s="26" t="n">
        <x:v>46188</x:v>
      </x:c>
      <x:c r="C168" t="str">
        <x:v>C-1032</x:v>
      </x:c>
      <x:c r="D168" t="str">
        <x:v>SKU-107</x:v>
      </x:c>
      <x:c r="E168" t="n">
        <x:v>2</x:v>
      </x:c>
      <x:c r="F168" s="24" t="n">
        <x:v>9</x:v>
      </x:c>
      <x:c r="G168" s="24" t="n">
        <x:v>18</x:v>
      </x:c>
      <x:c r="H168" s="24" t="n">
        <x:v>0</x:v>
      </x:c>
      <x:c r="I168" s="24" t="n">
        <x:v>1.08</x:v>
      </x:c>
      <x:c r="J168" s="24" t="n">
        <x:v>6.95</x:v>
      </x:c>
      <x:c r="K168" s="24" t="n">
        <x:v>0</x:v>
      </x:c>
      <x:c r="L168" s="24" t="n">
        <x:v>1.05</x:v>
      </x:c>
      <x:c r="M168" s="24" t="n">
        <x:v>24.98</x:v>
      </x:c>
      <x:c r="N168" s="24" t="n">
        <x:v>24.98</x:v>
      </x:c>
      <x:c r="O168" t="str">
        <x:v>Paid</x:v>
      </x:c>
      <x:c r="P168" t="str">
        <x:v>Delivered</x:v>
      </x:c>
      <x:c r="Q168" t="str">
        <x:f>IF(COUNTIF($A$2:$A$241,A168)&gt;1,"DUPLICATE","")</x:f>
      </x:c>
      <x:c r="R168" t="str">
        <x:f>IF(OR(A168="",B168="",C168="",D168="",E168=""),"MISSING","")</x:f>
      </x:c>
      <x:c r="S168" t="str">
        <x:f>IF(COUNTIF('Product Master'!$A$2:$A$9,D168)=0,"INVALID SKU","")</x:f>
      </x:c>
      <x:c r="T168" s="24" t="n">
        <x:f>N168-M168</x:f>
        <x:v>0</x:v>
      </x:c>
      <x:c r="U168" t="str">
        <x:f>IF(AND(K168&gt;0,O168="Paid"),"REFUND STATUS","")</x:f>
      </x:c>
      <x:c r="V168" t="n">
        <x:f>IF(Q168&lt;&gt;"",1,0)+IF(R168&lt;&gt;"",1,0)+IF(S168&lt;&gt;"",1,0)+IF(ABS(T168)&gt;0.01,1,0)+IF(U168&lt;&gt;"",1,0)</x:f>
        <x:v>0</x:v>
      </x:c>
      <x:c r="W168" t="str">
        <x:f>IF(V168=0,"PASS","REVIEW")</x:f>
        <x:v>PASS</x:v>
      </x:c>
    </x:row>
    <x:row r="169">
      <x:c r="A169" t="str">
        <x:v>ORD-5168</x:v>
      </x:c>
      <x:c r="B169" s="26" t="n">
        <x:v>46189</x:v>
      </x:c>
      <x:c r="C169" t="str">
        <x:v>C-1033</x:v>
      </x:c>
      <x:c r="D169" t="str">
        <x:v>SKU-108</x:v>
      </x:c>
      <x:c r="E169" t="n">
        <x:v>3</x:v>
      </x:c>
      <x:c r="F169" s="24" t="n">
        <x:v>42</x:v>
      </x:c>
      <x:c r="G169" s="24" t="n">
        <x:v>126</x:v>
      </x:c>
      <x:c r="H169" s="24" t="n">
        <x:v>0</x:v>
      </x:c>
      <x:c r="I169" s="24" t="n">
        <x:v>7.56</x:v>
      </x:c>
      <x:c r="J169" s="24" t="n">
        <x:v>0</x:v>
      </x:c>
      <x:c r="K169" s="24" t="n">
        <x:v>0</x:v>
      </x:c>
      <x:c r="L169" s="24" t="n">
        <x:v>4.17</x:v>
      </x:c>
      <x:c r="M169" s="24" t="n">
        <x:v>129.39</x:v>
      </x:c>
      <x:c r="N169" s="24" t="n">
        <x:v>129.39</x:v>
      </x:c>
      <x:c r="O169" t="str">
        <x:v>Paid</x:v>
      </x:c>
      <x:c r="P169" t="str">
        <x:v>Delivered</x:v>
      </x:c>
      <x:c r="Q169" t="str">
        <x:f>IF(COUNTIF($A$2:$A$241,A169)&gt;1,"DUPLICATE","")</x:f>
      </x:c>
      <x:c r="R169" t="str">
        <x:f>IF(OR(A169="",B169="",C169="",D169="",E169=""),"MISSING","")</x:f>
      </x:c>
      <x:c r="S169" t="str">
        <x:f>IF(COUNTIF('Product Master'!$A$2:$A$9,D169)=0,"INVALID SKU","")</x:f>
      </x:c>
      <x:c r="T169" s="24" t="n">
        <x:f>N169-M169</x:f>
        <x:v>0</x:v>
      </x:c>
      <x:c r="U169" t="str">
        <x:f>IF(AND(K169&gt;0,O169="Paid"),"REFUND STATUS","")</x:f>
      </x:c>
      <x:c r="V169" t="n">
        <x:f>IF(Q169&lt;&gt;"",1,0)+IF(R169&lt;&gt;"",1,0)+IF(S169&lt;&gt;"",1,0)+IF(ABS(T169)&gt;0.01,1,0)+IF(U169&lt;&gt;"",1,0)</x:f>
        <x:v>0</x:v>
      </x:c>
      <x:c r="W169" t="str">
        <x:f>IF(V169=0,"PASS","REVIEW")</x:f>
        <x:v>PASS</x:v>
      </x:c>
    </x:row>
    <x:row r="170">
      <x:c r="A170" t="str">
        <x:v>ORD-5169</x:v>
      </x:c>
      <x:c r="B170" s="26" t="n">
        <x:v>46190</x:v>
      </x:c>
      <x:c r="C170" t="str">
        <x:v>C-1034</x:v>
      </x:c>
      <x:c r="D170" t="str">
        <x:v>SKU-101</x:v>
      </x:c>
      <x:c r="E170" t="n">
        <x:v>1</x:v>
      </x:c>
      <x:c r="F170" s="24" t="n">
        <x:v>24</x:v>
      </x:c>
      <x:c r="G170" s="24" t="n">
        <x:v>24</x:v>
      </x:c>
      <x:c r="H170" s="24" t="n">
        <x:v>0</x:v>
      </x:c>
      <x:c r="I170" s="24" t="n">
        <x:v>1.44</x:v>
      </x:c>
      <x:c r="J170" s="24" t="n">
        <x:v>6.95</x:v>
      </x:c>
      <x:c r="K170" s="24" t="n">
        <x:v>0</x:v>
      </x:c>
      <x:c r="L170" s="24" t="n">
        <x:v>1.24</x:v>
      </x:c>
      <x:c r="M170" s="24" t="n">
        <x:v>31.15</x:v>
      </x:c>
      <x:c r="N170" s="24" t="n">
        <x:v>31.15</x:v>
      </x:c>
      <x:c r="O170" t="str">
        <x:v>Paid</x:v>
      </x:c>
      <x:c r="P170" t="str">
        <x:v>Delivered</x:v>
      </x:c>
      <x:c r="Q170" t="str">
        <x:f>IF(COUNTIF($A$2:$A$241,A170)&gt;1,"DUPLICATE","")</x:f>
      </x:c>
      <x:c r="R170" t="str">
        <x:f>IF(OR(A170="",B170="",C170="",D170="",E170=""),"MISSING","")</x:f>
      </x:c>
      <x:c r="S170" t="str">
        <x:f>IF(COUNTIF('Product Master'!$A$2:$A$9,D170)=0,"INVALID SKU","")</x:f>
      </x:c>
      <x:c r="T170" s="24" t="n">
        <x:f>N170-M170</x:f>
        <x:v>0</x:v>
      </x:c>
      <x:c r="U170" t="str">
        <x:f>IF(AND(K170&gt;0,O170="Paid"),"REFUND STATUS","")</x:f>
      </x:c>
      <x:c r="V170" t="n">
        <x:f>IF(Q170&lt;&gt;"",1,0)+IF(R170&lt;&gt;"",1,0)+IF(S170&lt;&gt;"",1,0)+IF(ABS(T170)&gt;0.01,1,0)+IF(U170&lt;&gt;"",1,0)</x:f>
        <x:v>0</x:v>
      </x:c>
      <x:c r="W170" t="str">
        <x:f>IF(V170=0,"PASS","REVIEW")</x:f>
        <x:v>PASS</x:v>
      </x:c>
    </x:row>
    <x:row r="171">
      <x:c r="A171" t="str">
        <x:v>ORD-5170</x:v>
      </x:c>
      <x:c r="B171" s="26" t="n">
        <x:v>46191</x:v>
      </x:c>
      <x:c r="C171" t="str">
        <x:v>C-1035</x:v>
      </x:c>
      <x:c r="D171" t="str">
        <x:v>SKU-102</x:v>
      </x:c>
      <x:c r="E171" t="n">
        <x:v>2</x:v>
      </x:c>
      <x:c r="F171" s="24" t="n">
        <x:v>28</x:v>
      </x:c>
      <x:c r="G171" s="24" t="n">
        <x:v>56</x:v>
      </x:c>
      <x:c r="H171" s="24" t="n">
        <x:v>0</x:v>
      </x:c>
      <x:c r="I171" s="24" t="n">
        <x:v>3.36</x:v>
      </x:c>
      <x:c r="J171" s="24" t="n">
        <x:v>6.95</x:v>
      </x:c>
      <x:c r="K171" s="24" t="n">
        <x:v>0</x:v>
      </x:c>
      <x:c r="L171" s="24" t="n">
        <x:v>2.22</x:v>
      </x:c>
      <x:c r="M171" s="24" t="n">
        <x:v>64.09</x:v>
      </x:c>
      <x:c r="N171" s="24" t="n">
        <x:v>64.09</x:v>
      </x:c>
      <x:c r="O171" t="str">
        <x:v>Paid</x:v>
      </x:c>
      <x:c r="P171" t="str">
        <x:v>Delivered</x:v>
      </x:c>
      <x:c r="Q171" t="str">
        <x:f>IF(COUNTIF($A$2:$A$241,A171)&gt;1,"DUPLICATE","")</x:f>
      </x:c>
      <x:c r="R171" t="str">
        <x:f>IF(OR(A171="",B171="",C171="",D171="",E171=""),"MISSING","")</x:f>
      </x:c>
      <x:c r="S171" t="str">
        <x:f>IF(COUNTIF('Product Master'!$A$2:$A$9,D171)=0,"INVALID SKU","")</x:f>
      </x:c>
      <x:c r="T171" s="24" t="n">
        <x:f>N171-M171</x:f>
        <x:v>0</x:v>
      </x:c>
      <x:c r="U171" t="str">
        <x:f>IF(AND(K171&gt;0,O171="Paid"),"REFUND STATUS","")</x:f>
      </x:c>
      <x:c r="V171" t="n">
        <x:f>IF(Q171&lt;&gt;"",1,0)+IF(R171&lt;&gt;"",1,0)+IF(S171&lt;&gt;"",1,0)+IF(ABS(T171)&gt;0.01,1,0)+IF(U171&lt;&gt;"",1,0)</x:f>
        <x:v>0</x:v>
      </x:c>
      <x:c r="W171" t="str">
        <x:f>IF(V171=0,"PASS","REVIEW")</x:f>
        <x:v>PASS</x:v>
      </x:c>
    </x:row>
    <x:row r="172">
      <x:c r="A172" t="str">
        <x:v>ORD-5171</x:v>
      </x:c>
      <x:c r="B172" s="26" t="n">
        <x:v>46192</x:v>
      </x:c>
      <x:c r="C172" t="str">
        <x:v>C-1036</x:v>
      </x:c>
      <x:c r="D172" t="str">
        <x:v>SKU-103</x:v>
      </x:c>
      <x:c r="E172" t="n">
        <x:v>3</x:v>
      </x:c>
      <x:c r="F172" s="24" t="n">
        <x:v>16</x:v>
      </x:c>
      <x:c r="G172" s="24" t="n">
        <x:v>48</x:v>
      </x:c>
      <x:c r="H172" s="24" t="n">
        <x:v>0</x:v>
      </x:c>
      <x:c r="I172" s="24" t="n">
        <x:v>2.88</x:v>
      </x:c>
      <x:c r="J172" s="24" t="n">
        <x:v>6.95</x:v>
      </x:c>
      <x:c r="K172" s="24" t="n">
        <x:v>0</x:v>
      </x:c>
      <x:c r="L172" s="24" t="n">
        <x:v>1.98</x:v>
      </x:c>
      <x:c r="M172" s="24" t="n">
        <x:v>55.85</x:v>
      </x:c>
      <x:c r="N172" s="24" t="n">
        <x:v>55.85</x:v>
      </x:c>
      <x:c r="O172" t="str">
        <x:v>Paid</x:v>
      </x:c>
      <x:c r="P172" t="str">
        <x:v>Delivered</x:v>
      </x:c>
      <x:c r="Q172" t="str">
        <x:f>IF(COUNTIF($A$2:$A$241,A172)&gt;1,"DUPLICATE","")</x:f>
      </x:c>
      <x:c r="R172" t="str">
        <x:f>IF(OR(A172="",B172="",C172="",D172="",E172=""),"MISSING","")</x:f>
      </x:c>
      <x:c r="S172" t="str">
        <x:f>IF(COUNTIF('Product Master'!$A$2:$A$9,D172)=0,"INVALID SKU","")</x:f>
      </x:c>
      <x:c r="T172" s="24" t="n">
        <x:f>N172-M172</x:f>
        <x:v>0</x:v>
      </x:c>
      <x:c r="U172" t="str">
        <x:f>IF(AND(K172&gt;0,O172="Paid"),"REFUND STATUS","")</x:f>
      </x:c>
      <x:c r="V172" t="n">
        <x:f>IF(Q172&lt;&gt;"",1,0)+IF(R172&lt;&gt;"",1,0)+IF(S172&lt;&gt;"",1,0)+IF(ABS(T172)&gt;0.01,1,0)+IF(U172&lt;&gt;"",1,0)</x:f>
        <x:v>0</x:v>
      </x:c>
      <x:c r="W172" t="str">
        <x:f>IF(V172=0,"PASS","REVIEW")</x:f>
        <x:v>PASS</x:v>
      </x:c>
    </x:row>
    <x:row r="173">
      <x:c r="A173" t="str">
        <x:v>ORD-5172</x:v>
      </x:c>
      <x:c r="B173" s="26" t="n">
        <x:v>46193</x:v>
      </x:c>
      <x:c r="C173" t="str">
        <x:v>C-1037</x:v>
      </x:c>
      <x:c r="D173" t="str">
        <x:v>SKU-104</x:v>
      </x:c>
      <x:c r="E173" t="n">
        <x:v>1</x:v>
      </x:c>
      <x:c r="F173" s="24" t="n">
        <x:v>58</x:v>
      </x:c>
      <x:c r="G173" s="24" t="n">
        <x:v>58</x:v>
      </x:c>
      <x:c r="H173" s="24" t="n">
        <x:v>5.8</x:v>
      </x:c>
      <x:c r="I173" s="24" t="n">
        <x:v>3.13</x:v>
      </x:c>
      <x:c r="J173" s="24" t="n">
        <x:v>6.95</x:v>
      </x:c>
      <x:c r="K173" s="24" t="n">
        <x:v>0</x:v>
      </x:c>
      <x:c r="L173" s="24" t="n">
        <x:v>2.11</x:v>
      </x:c>
      <x:c r="M173" s="24" t="n">
        <x:v>60.17</x:v>
      </x:c>
      <x:c r="N173" s="24" t="n">
        <x:v>60.17</x:v>
      </x:c>
      <x:c r="O173" t="str">
        <x:v>Paid</x:v>
      </x:c>
      <x:c r="P173" t="str">
        <x:v>Delivered</x:v>
      </x:c>
      <x:c r="Q173" t="str">
        <x:f>IF(COUNTIF($A$2:$A$241,A173)&gt;1,"DUPLICATE","")</x:f>
      </x:c>
      <x:c r="R173" t="str">
        <x:f>IF(OR(A173="",B173="",C173="",D173="",E173=""),"MISSING","")</x:f>
      </x:c>
      <x:c r="S173" t="str">
        <x:f>IF(COUNTIF('Product Master'!$A$2:$A$9,D173)=0,"INVALID SKU","")</x:f>
      </x:c>
      <x:c r="T173" s="24" t="n">
        <x:f>N173-M173</x:f>
        <x:v>0</x:v>
      </x:c>
      <x:c r="U173" t="str">
        <x:f>IF(AND(K173&gt;0,O173="Paid"),"REFUND STATUS","")</x:f>
      </x:c>
      <x:c r="V173" t="n">
        <x:f>IF(Q173&lt;&gt;"",1,0)+IF(R173&lt;&gt;"",1,0)+IF(S173&lt;&gt;"",1,0)+IF(ABS(T173)&gt;0.01,1,0)+IF(U173&lt;&gt;"",1,0)</x:f>
        <x:v>0</x:v>
      </x:c>
      <x:c r="W173" t="str">
        <x:f>IF(V173=0,"PASS","REVIEW")</x:f>
        <x:v>PASS</x:v>
      </x:c>
    </x:row>
    <x:row r="174">
      <x:c r="A174" t="str">
        <x:v>ORD-5173</x:v>
      </x:c>
      <x:c r="B174" s="26" t="n">
        <x:v>46194</x:v>
      </x:c>
      <x:c r="C174" t="str">
        <x:v>C-1038</x:v>
      </x:c>
      <x:c r="D174" t="str">
        <x:v>SKU-105</x:v>
      </x:c>
      <x:c r="E174" t="n">
        <x:v>2</x:v>
      </x:c>
      <x:c r="F174" s="24" t="n">
        <x:v>32</x:v>
      </x:c>
      <x:c r="G174" s="24" t="n">
        <x:v>64</x:v>
      </x:c>
      <x:c r="H174" s="24" t="n">
        <x:v>0</x:v>
      </x:c>
      <x:c r="I174" s="24" t="n">
        <x:v>3.84</x:v>
      </x:c>
      <x:c r="J174" s="24" t="n">
        <x:v>0</x:v>
      </x:c>
      <x:c r="K174" s="24" t="n">
        <x:v>0</x:v>
      </x:c>
      <x:c r="L174" s="24" t="n">
        <x:v>2.27</x:v>
      </x:c>
      <x:c r="M174" s="24" t="n">
        <x:v>65.57</x:v>
      </x:c>
      <x:c r="N174" s="24" t="n">
        <x:v>65.57</x:v>
      </x:c>
      <x:c r="O174" t="str">
        <x:v>Paid</x:v>
      </x:c>
      <x:c r="P174" t="str">
        <x:v>Delivered</x:v>
      </x:c>
      <x:c r="Q174" t="str">
        <x:f>IF(COUNTIF($A$2:$A$241,A174)&gt;1,"DUPLICATE","")</x:f>
      </x:c>
      <x:c r="R174" t="str">
        <x:f>IF(OR(A174="",B174="",C174="",D174="",E174=""),"MISSING","")</x:f>
      </x:c>
      <x:c r="S174" t="str">
        <x:f>IF(COUNTIF('Product Master'!$A$2:$A$9,D174)=0,"INVALID SKU","")</x:f>
      </x:c>
      <x:c r="T174" s="24" t="n">
        <x:f>N174-M174</x:f>
        <x:v>0</x:v>
      </x:c>
      <x:c r="U174" t="str">
        <x:f>IF(AND(K174&gt;0,O174="Paid"),"REFUND STATUS","")</x:f>
      </x:c>
      <x:c r="V174" t="n">
        <x:f>IF(Q174&lt;&gt;"",1,0)+IF(R174&lt;&gt;"",1,0)+IF(S174&lt;&gt;"",1,0)+IF(ABS(T174)&gt;0.01,1,0)+IF(U174&lt;&gt;"",1,0)</x:f>
        <x:v>0</x:v>
      </x:c>
      <x:c r="W174" t="str">
        <x:f>IF(V174=0,"PASS","REVIEW")</x:f>
        <x:v>PASS</x:v>
      </x:c>
    </x:row>
    <x:row r="175">
      <x:c r="A175" t="str">
        <x:v>ORD-5174</x:v>
      </x:c>
      <x:c r="B175" s="26" t="n">
        <x:v>46195</x:v>
      </x:c>
      <x:c r="C175" t="str">
        <x:v>C-1039</x:v>
      </x:c>
      <x:c r="D175" t="str">
        <x:v>SKU-999</x:v>
      </x:c>
      <x:c r="E175" t="n">
        <x:v>3</x:v>
      </x:c>
      <x:c r="F175" s="24" t="n">
        <x:v>36</x:v>
      </x:c>
      <x:c r="G175" s="24" t="n">
        <x:v>108</x:v>
      </x:c>
      <x:c r="H175" s="24" t="n">
        <x:v>0</x:v>
      </x:c>
      <x:c r="I175" s="24" t="n">
        <x:v>6.48</x:v>
      </x:c>
      <x:c r="J175" s="24" t="n">
        <x:v>0</x:v>
      </x:c>
      <x:c r="K175" s="24" t="n">
        <x:v>0</x:v>
      </x:c>
      <x:c r="L175" s="24" t="n">
        <x:v>3.62</x:v>
      </x:c>
      <x:c r="M175" s="24" t="n">
        <x:v>110.86</x:v>
      </x:c>
      <x:c r="N175" s="24" t="n">
        <x:v>110.86</x:v>
      </x:c>
      <x:c r="O175" t="str">
        <x:v>Paid</x:v>
      </x:c>
      <x:c r="P175" t="str">
        <x:v>Delivered</x:v>
      </x:c>
      <x:c r="Q175" t="str">
        <x:f>IF(COUNTIF($A$2:$A$241,A175)&gt;1,"DUPLICATE","")</x:f>
      </x:c>
      <x:c r="R175" t="str">
        <x:f>IF(OR(A175="",B175="",C175="",D175="",E175=""),"MISSING","")</x:f>
      </x:c>
      <x:c r="S175" t="str">
        <x:f>IF(COUNTIF('Product Master'!$A$2:$A$9,D175)=0,"INVALID SKU","")</x:f>
        <x:v>INVALID SKU</x:v>
      </x:c>
      <x:c r="T175" s="24" t="n">
        <x:f>N175-M175</x:f>
        <x:v>0</x:v>
      </x:c>
      <x:c r="U175" t="str">
        <x:f>IF(AND(K175&gt;0,O175="Paid"),"REFUND STATUS","")</x:f>
      </x:c>
      <x:c r="V175" t="n">
        <x:f>IF(Q175&lt;&gt;"",1,0)+IF(R175&lt;&gt;"",1,0)+IF(S175&lt;&gt;"",1,0)+IF(ABS(T175)&gt;0.01,1,0)+IF(U175&lt;&gt;"",1,0)</x:f>
        <x:v>1</x:v>
      </x:c>
      <x:c r="W175" t="str">
        <x:f>IF(V175=0,"PASS","REVIEW")</x:f>
        <x:v>REVIEW</x:v>
      </x:c>
    </x:row>
    <x:row r="176">
      <x:c r="A176" t="str">
        <x:v>ORD-5175</x:v>
      </x:c>
      <x:c r="B176" s="26" t="n">
        <x:v>46196</x:v>
      </x:c>
      <x:c r="C176" t="str">
        <x:v>C-1040</x:v>
      </x:c>
      <x:c r="D176" t="str">
        <x:v>SKU-107</x:v>
      </x:c>
      <x:c r="E176" t="n">
        <x:v>1</x:v>
      </x:c>
      <x:c r="F176" s="24" t="n">
        <x:v>9</x:v>
      </x:c>
      <x:c r="G176" s="24" t="n">
        <x:v>9</x:v>
      </x:c>
      <x:c r="H176" s="24" t="n">
        <x:v>0</x:v>
      </x:c>
      <x:c r="I176" s="24" t="n">
        <x:v>0.54</x:v>
      </x:c>
      <x:c r="J176" s="24" t="n">
        <x:v>6.95</x:v>
      </x:c>
      <x:c r="K176" s="24" t="n">
        <x:v>0</x:v>
      </x:c>
      <x:c r="L176" s="24" t="n">
        <x:v>0.78</x:v>
      </x:c>
      <x:c r="M176" s="24" t="n">
        <x:v>15.71</x:v>
      </x:c>
      <x:c r="N176" s="24" t="n">
        <x:v>15.71</x:v>
      </x:c>
      <x:c r="O176" t="str">
        <x:v>Paid</x:v>
      </x:c>
      <x:c r="P176" t="str">
        <x:v>Delivered</x:v>
      </x:c>
      <x:c r="Q176" t="str">
        <x:f>IF(COUNTIF($A$2:$A$241,A176)&gt;1,"DUPLICATE","")</x:f>
      </x:c>
      <x:c r="R176" t="str">
        <x:f>IF(OR(A176="",B176="",C176="",D176="",E176=""),"MISSING","")</x:f>
      </x:c>
      <x:c r="S176" t="str">
        <x:f>IF(COUNTIF('Product Master'!$A$2:$A$9,D176)=0,"INVALID SKU","")</x:f>
      </x:c>
      <x:c r="T176" s="24" t="n">
        <x:f>N176-M176</x:f>
        <x:v>0</x:v>
      </x:c>
      <x:c r="U176" t="str">
        <x:f>IF(AND(K176&gt;0,O176="Paid"),"REFUND STATUS","")</x:f>
      </x:c>
      <x:c r="V176" t="n">
        <x:f>IF(Q176&lt;&gt;"",1,0)+IF(R176&lt;&gt;"",1,0)+IF(S176&lt;&gt;"",1,0)+IF(ABS(T176)&gt;0.01,1,0)+IF(U176&lt;&gt;"",1,0)</x:f>
        <x:v>0</x:v>
      </x:c>
      <x:c r="W176" t="str">
        <x:f>IF(V176=0,"PASS","REVIEW")</x:f>
        <x:v>PASS</x:v>
      </x:c>
    </x:row>
    <x:row r="177">
      <x:c r="A177" t="str">
        <x:v>ORD-5176</x:v>
      </x:c>
      <x:c r="B177" s="26" t="n">
        <x:v>46197</x:v>
      </x:c>
      <x:c r="C177" t="str">
        <x:v>C-1041</x:v>
      </x:c>
      <x:c r="D177" t="str">
        <x:v>SKU-108</x:v>
      </x:c>
      <x:c r="E177" t="n">
        <x:v>2</x:v>
      </x:c>
      <x:c r="F177" s="24" t="n">
        <x:v>42</x:v>
      </x:c>
      <x:c r="G177" s="24" t="n">
        <x:v>84</x:v>
      </x:c>
      <x:c r="H177" s="24" t="n">
        <x:v>0</x:v>
      </x:c>
      <x:c r="I177" s="24" t="n">
        <x:v>5.04</x:v>
      </x:c>
      <x:c r="J177" s="24" t="n">
        <x:v>0</x:v>
      </x:c>
      <x:c r="K177" s="24" t="n">
        <x:v>0</x:v>
      </x:c>
      <x:c r="L177" s="24" t="n">
        <x:v>2.88</x:v>
      </x:c>
      <x:c r="M177" s="24" t="n">
        <x:v>86.16</x:v>
      </x:c>
      <x:c r="N177" s="24" t="n">
        <x:v>86.16</x:v>
      </x:c>
      <x:c r="O177" t="str">
        <x:v>Paid</x:v>
      </x:c>
      <x:c r="P177" t="str">
        <x:v>Delivered</x:v>
      </x:c>
      <x:c r="Q177" t="str">
        <x:f>IF(COUNTIF($A$2:$A$241,A177)&gt;1,"DUPLICATE","")</x:f>
      </x:c>
      <x:c r="R177" t="str">
        <x:f>IF(OR(A177="",B177="",C177="",D177="",E177=""),"MISSING","")</x:f>
      </x:c>
      <x:c r="S177" t="str">
        <x:f>IF(COUNTIF('Product Master'!$A$2:$A$9,D177)=0,"INVALID SKU","")</x:f>
      </x:c>
      <x:c r="T177" s="24" t="n">
        <x:f>N177-M177</x:f>
        <x:v>0</x:v>
      </x:c>
      <x:c r="U177" t="str">
        <x:f>IF(AND(K177&gt;0,O177="Paid"),"REFUND STATUS","")</x:f>
      </x:c>
      <x:c r="V177" t="n">
        <x:f>IF(Q177&lt;&gt;"",1,0)+IF(R177&lt;&gt;"",1,0)+IF(S177&lt;&gt;"",1,0)+IF(ABS(T177)&gt;0.01,1,0)+IF(U177&lt;&gt;"",1,0)</x:f>
        <x:v>0</x:v>
      </x:c>
      <x:c r="W177" t="str">
        <x:f>IF(V177=0,"PASS","REVIEW")</x:f>
        <x:v>PASS</x:v>
      </x:c>
    </x:row>
    <x:row r="178">
      <x:c r="A178" t="str">
        <x:v>ORD-5177</x:v>
      </x:c>
      <x:c r="B178" s="26" t="n">
        <x:v>46198</x:v>
      </x:c>
      <x:c r="C178" t="str">
        <x:v>C-1042</x:v>
      </x:c>
      <x:c r="D178" t="str">
        <x:v>SKU-101</x:v>
      </x:c>
      <x:c r="E178" t="n">
        <x:v>3</x:v>
      </x:c>
      <x:c r="F178" s="24" t="n">
        <x:v>24</x:v>
      </x:c>
      <x:c r="G178" s="24" t="n">
        <x:v>72</x:v>
      </x:c>
      <x:c r="H178" s="24" t="n">
        <x:v>0</x:v>
      </x:c>
      <x:c r="I178" s="24" t="n">
        <x:v>4.32</x:v>
      </x:c>
      <x:c r="J178" s="24" t="n">
        <x:v>0</x:v>
      </x:c>
      <x:c r="K178" s="24" t="n">
        <x:v>0</x:v>
      </x:c>
      <x:c r="L178" s="24" t="n">
        <x:v>2.51</x:v>
      </x:c>
      <x:c r="M178" s="24" t="n">
        <x:v>73.81</x:v>
      </x:c>
      <x:c r="N178" s="24" t="n">
        <x:v>73.81</x:v>
      </x:c>
      <x:c r="O178" t="str">
        <x:v>Paid</x:v>
      </x:c>
      <x:c r="P178" t="str">
        <x:v>Delivered</x:v>
      </x:c>
      <x:c r="Q178" t="str">
        <x:f>IF(COUNTIF($A$2:$A$241,A178)&gt;1,"DUPLICATE","")</x:f>
      </x:c>
      <x:c r="R178" t="str">
        <x:f>IF(OR(A178="",B178="",C178="",D178="",E178=""),"MISSING","")</x:f>
      </x:c>
      <x:c r="S178" t="str">
        <x:f>IF(COUNTIF('Product Master'!$A$2:$A$9,D178)=0,"INVALID SKU","")</x:f>
      </x:c>
      <x:c r="T178" s="24" t="n">
        <x:f>N178-M178</x:f>
        <x:v>0</x:v>
      </x:c>
      <x:c r="U178" t="str">
        <x:f>IF(AND(K178&gt;0,O178="Paid"),"REFUND STATUS","")</x:f>
      </x:c>
      <x:c r="V178" t="n">
        <x:f>IF(Q178&lt;&gt;"",1,0)+IF(R178&lt;&gt;"",1,0)+IF(S178&lt;&gt;"",1,0)+IF(ABS(T178)&gt;0.01,1,0)+IF(U178&lt;&gt;"",1,0)</x:f>
        <x:v>0</x:v>
      </x:c>
      <x:c r="W178" t="str">
        <x:f>IF(V178=0,"PASS","REVIEW")</x:f>
        <x:v>PASS</x:v>
      </x:c>
    </x:row>
    <x:row r="179">
      <x:c r="A179" t="str">
        <x:v>ORD-5178</x:v>
      </x:c>
      <x:c r="B179" s="26" t="n">
        <x:v>46199</x:v>
      </x:c>
      <x:c r="C179" t="str">
        <x:v>C-1043</x:v>
      </x:c>
      <x:c r="D179" t="str">
        <x:v>SKU-102</x:v>
      </x:c>
      <x:c r="E179" t="n">
        <x:v>1</x:v>
      </x:c>
      <x:c r="F179" s="24" t="n">
        <x:v>28</x:v>
      </x:c>
      <x:c r="G179" s="24" t="n">
        <x:v>28</x:v>
      </x:c>
      <x:c r="H179" s="24" t="n">
        <x:v>0</x:v>
      </x:c>
      <x:c r="I179" s="24" t="n">
        <x:v>1.68</x:v>
      </x:c>
      <x:c r="J179" s="24" t="n">
        <x:v>6.95</x:v>
      </x:c>
      <x:c r="K179" s="24" t="n">
        <x:v>0</x:v>
      </x:c>
      <x:c r="L179" s="24" t="n">
        <x:v>1.36</x:v>
      </x:c>
      <x:c r="M179" s="24" t="n">
        <x:v>35.27</x:v>
      </x:c>
      <x:c r="N179" s="24" t="n">
        <x:v>35.27</x:v>
      </x:c>
      <x:c r="O179" t="str">
        <x:v>Paid</x:v>
      </x:c>
      <x:c r="P179" t="str">
        <x:v>Delivered</x:v>
      </x:c>
      <x:c r="Q179" t="str">
        <x:f>IF(COUNTIF($A$2:$A$241,A179)&gt;1,"DUPLICATE","")</x:f>
      </x:c>
      <x:c r="R179" t="str">
        <x:f>IF(OR(A179="",B179="",C179="",D179="",E179=""),"MISSING","")</x:f>
      </x:c>
      <x:c r="S179" t="str">
        <x:f>IF(COUNTIF('Product Master'!$A$2:$A$9,D179)=0,"INVALID SKU","")</x:f>
      </x:c>
      <x:c r="T179" s="24" t="n">
        <x:f>N179-M179</x:f>
        <x:v>0</x:v>
      </x:c>
      <x:c r="U179" t="str">
        <x:f>IF(AND(K179&gt;0,O179="Paid"),"REFUND STATUS","")</x:f>
      </x:c>
      <x:c r="V179" t="n">
        <x:f>IF(Q179&lt;&gt;"",1,0)+IF(R179&lt;&gt;"",1,0)+IF(S179&lt;&gt;"",1,0)+IF(ABS(T179)&gt;0.01,1,0)+IF(U179&lt;&gt;"",1,0)</x:f>
        <x:v>0</x:v>
      </x:c>
      <x:c r="W179" t="str">
        <x:f>IF(V179=0,"PASS","REVIEW")</x:f>
        <x:v>PASS</x:v>
      </x:c>
    </x:row>
    <x:row r="180">
      <x:c r="A180" t="str">
        <x:v>ORD-5179</x:v>
      </x:c>
      <x:c r="B180" s="26" t="n">
        <x:v>46200</x:v>
      </x:c>
      <x:c r="C180" t="str">
        <x:v>C-1044</x:v>
      </x:c>
      <x:c r="D180" t="str">
        <x:v>SKU-103</x:v>
      </x:c>
      <x:c r="E180" t="n">
        <x:v>2</x:v>
      </x:c>
      <x:c r="F180" s="24" t="n">
        <x:v>16</x:v>
      </x:c>
      <x:c r="G180" s="24" t="n">
        <x:v>32</x:v>
      </x:c>
      <x:c r="H180" s="24" t="n">
        <x:v>0</x:v>
      </x:c>
      <x:c r="I180" s="24" t="n">
        <x:v>1.92</x:v>
      </x:c>
      <x:c r="J180" s="24" t="n">
        <x:v>6.95</x:v>
      </x:c>
      <x:c r="K180" s="24" t="n">
        <x:v>0</x:v>
      </x:c>
      <x:c r="L180" s="24" t="n">
        <x:v>1.49</x:v>
      </x:c>
      <x:c r="M180" s="24" t="n">
        <x:v>39.38</x:v>
      </x:c>
      <x:c r="N180" s="24" t="n">
        <x:v>39.38</x:v>
      </x:c>
      <x:c r="O180" t="str">
        <x:v>Paid</x:v>
      </x:c>
      <x:c r="P180" t="str">
        <x:v>Delivered</x:v>
      </x:c>
      <x:c r="Q180" t="str">
        <x:f>IF(COUNTIF($A$2:$A$241,A180)&gt;1,"DUPLICATE","")</x:f>
      </x:c>
      <x:c r="R180" t="str">
        <x:f>IF(OR(A180="",B180="",C180="",D180="",E180=""),"MISSING","")</x:f>
      </x:c>
      <x:c r="S180" t="str">
        <x:f>IF(COUNTIF('Product Master'!$A$2:$A$9,D180)=0,"INVALID SKU","")</x:f>
      </x:c>
      <x:c r="T180" s="24" t="n">
        <x:f>N180-M180</x:f>
        <x:v>0</x:v>
      </x:c>
      <x:c r="U180" t="str">
        <x:f>IF(AND(K180&gt;0,O180="Paid"),"REFUND STATUS","")</x:f>
      </x:c>
      <x:c r="V180" t="n">
        <x:f>IF(Q180&lt;&gt;"",1,0)+IF(R180&lt;&gt;"",1,0)+IF(S180&lt;&gt;"",1,0)+IF(ABS(T180)&gt;0.01,1,0)+IF(U180&lt;&gt;"",1,0)</x:f>
        <x:v>0</x:v>
      </x:c>
      <x:c r="W180" t="str">
        <x:f>IF(V180=0,"PASS","REVIEW")</x:f>
        <x:v>PASS</x:v>
      </x:c>
    </x:row>
    <x:row r="181">
      <x:c r="A181" t="str">
        <x:v>ORD-5180</x:v>
      </x:c>
      <x:c r="B181" s="26" t="n">
        <x:v>46201</x:v>
      </x:c>
      <x:c r="C181" t="str">
        <x:v>C-1045</x:v>
      </x:c>
      <x:c r="D181" t="str">
        <x:v>SKU-104</x:v>
      </x:c>
      <x:c r="E181" t="n">
        <x:v>3</x:v>
      </x:c>
      <x:c r="F181" s="24" t="n">
        <x:v>58</x:v>
      </x:c>
      <x:c r="G181" s="24" t="n">
        <x:v>174</x:v>
      </x:c>
      <x:c r="H181" s="24" t="n">
        <x:v>0</x:v>
      </x:c>
      <x:c r="I181" s="24" t="n">
        <x:v>10.44</x:v>
      </x:c>
      <x:c r="J181" s="24" t="n">
        <x:v>0</x:v>
      </x:c>
      <x:c r="K181" s="24" t="n">
        <x:v>0</x:v>
      </x:c>
      <x:c r="L181" s="24" t="n">
        <x:v>5.65</x:v>
      </x:c>
      <x:c r="M181" s="24" t="n">
        <x:v>178.79</x:v>
      </x:c>
      <x:c r="N181" s="24" t="n">
        <x:v>178.79</x:v>
      </x:c>
      <x:c r="O181" t="str">
        <x:v>Paid</x:v>
      </x:c>
      <x:c r="P181" t="str">
        <x:v>Delivered</x:v>
      </x:c>
      <x:c r="Q181" t="str">
        <x:f>IF(COUNTIF($A$2:$A$241,A181)&gt;1,"DUPLICATE","")</x:f>
      </x:c>
      <x:c r="R181" t="str">
        <x:f>IF(OR(A181="",B181="",C181="",D181="",E181=""),"MISSING","")</x:f>
      </x:c>
      <x:c r="S181" t="str">
        <x:f>IF(COUNTIF('Product Master'!$A$2:$A$9,D181)=0,"INVALID SKU","")</x:f>
      </x:c>
      <x:c r="T181" s="24" t="n">
        <x:f>N181-M181</x:f>
        <x:v>0</x:v>
      </x:c>
      <x:c r="U181" t="str">
        <x:f>IF(AND(K181&gt;0,O181="Paid"),"REFUND STATUS","")</x:f>
      </x:c>
      <x:c r="V181" t="n">
        <x:f>IF(Q181&lt;&gt;"",1,0)+IF(R181&lt;&gt;"",1,0)+IF(S181&lt;&gt;"",1,0)+IF(ABS(T181)&gt;0.01,1,0)+IF(U181&lt;&gt;"",1,0)</x:f>
        <x:v>0</x:v>
      </x:c>
      <x:c r="W181" t="str">
        <x:f>IF(V181=0,"PASS","REVIEW")</x:f>
        <x:v>PASS</x:v>
      </x:c>
    </x:row>
    <x:row r="182">
      <x:c r="A182" t="str">
        <x:v>ORD-5181</x:v>
      </x:c>
      <x:c r="B182" s="26" t="n">
        <x:v>46202</x:v>
      </x:c>
      <x:c r="C182" t="str">
        <x:v>C-1046</x:v>
      </x:c>
      <x:c r="D182" t="str">
        <x:v>SKU-105</x:v>
      </x:c>
      <x:c r="E182" t="n">
        <x:v>1</x:v>
      </x:c>
      <x:c r="F182" s="24" t="n">
        <x:v>32</x:v>
      </x:c>
      <x:c r="G182" s="24" t="n">
        <x:v>32</x:v>
      </x:c>
      <x:c r="H182" s="24" t="n">
        <x:v>3.2</x:v>
      </x:c>
      <x:c r="I182" s="24" t="n">
        <x:v>1.73</x:v>
      </x:c>
      <x:c r="J182" s="24" t="n">
        <x:v>6.95</x:v>
      </x:c>
      <x:c r="K182" s="24" t="n">
        <x:v>0</x:v>
      </x:c>
      <x:c r="L182" s="24" t="n">
        <x:v>1.39</x:v>
      </x:c>
      <x:c r="M182" s="24" t="n">
        <x:v>36.09</x:v>
      </x:c>
      <x:c r="N182" s="24" t="n">
        <x:v>36.09</x:v>
      </x:c>
      <x:c r="O182" t="str">
        <x:v>Paid</x:v>
      </x:c>
      <x:c r="P182" t="str">
        <x:v>Delivered</x:v>
      </x:c>
      <x:c r="Q182" t="str">
        <x:f>IF(COUNTIF($A$2:$A$241,A182)&gt;1,"DUPLICATE","")</x:f>
      </x:c>
      <x:c r="R182" t="str">
        <x:f>IF(OR(A182="",B182="",C182="",D182="",E182=""),"MISSING","")</x:f>
      </x:c>
      <x:c r="S182" t="str">
        <x:f>IF(COUNTIF('Product Master'!$A$2:$A$9,D182)=0,"INVALID SKU","")</x:f>
      </x:c>
      <x:c r="T182" s="24" t="n">
        <x:f>N182-M182</x:f>
        <x:v>0</x:v>
      </x:c>
      <x:c r="U182" t="str">
        <x:f>IF(AND(K182&gt;0,O182="Paid"),"REFUND STATUS","")</x:f>
      </x:c>
      <x:c r="V182" t="n">
        <x:f>IF(Q182&lt;&gt;"",1,0)+IF(R182&lt;&gt;"",1,0)+IF(S182&lt;&gt;"",1,0)+IF(ABS(T182)&gt;0.01,1,0)+IF(U182&lt;&gt;"",1,0)</x:f>
        <x:v>0</x:v>
      </x:c>
      <x:c r="W182" t="str">
        <x:f>IF(V182=0,"PASS","REVIEW")</x:f>
        <x:v>PASS</x:v>
      </x:c>
    </x:row>
    <x:row r="183">
      <x:c r="A183" t="str">
        <x:v>ORD-5182</x:v>
      </x:c>
      <x:c r="B183" s="26" t="n">
        <x:v>46203</x:v>
      </x:c>
      <x:c r="C183" t="str">
        <x:v>C-1047</x:v>
      </x:c>
      <x:c r="D183" t="str">
        <x:v>SKU-106</x:v>
      </x:c>
      <x:c r="E183" t="n">
        <x:v>2</x:v>
      </x:c>
      <x:c r="F183" s="24" t="n">
        <x:v>36</x:v>
      </x:c>
      <x:c r="G183" s="24" t="n">
        <x:v>72</x:v>
      </x:c>
      <x:c r="H183" s="24" t="n">
        <x:v>0</x:v>
      </x:c>
      <x:c r="I183" s="24" t="n">
        <x:v>4.32</x:v>
      </x:c>
      <x:c r="J183" s="24" t="n">
        <x:v>0</x:v>
      </x:c>
      <x:c r="K183" s="24" t="n">
        <x:v>0</x:v>
      </x:c>
      <x:c r="L183" s="24" t="n">
        <x:v>2.51</x:v>
      </x:c>
      <x:c r="M183" s="24" t="n">
        <x:v>73.81</x:v>
      </x:c>
      <x:c r="N183" s="24" t="n">
        <x:v>73.81</x:v>
      </x:c>
      <x:c r="O183" t="str">
        <x:v>Paid</x:v>
      </x:c>
      <x:c r="P183" t="str">
        <x:v>Delivered</x:v>
      </x:c>
      <x:c r="Q183" t="str">
        <x:f>IF(COUNTIF($A$2:$A$241,A183)&gt;1,"DUPLICATE","")</x:f>
      </x:c>
      <x:c r="R183" t="str">
        <x:f>IF(OR(A183="",B183="",C183="",D183="",E183=""),"MISSING","")</x:f>
      </x:c>
      <x:c r="S183" t="str">
        <x:f>IF(COUNTIF('Product Master'!$A$2:$A$9,D183)=0,"INVALID SKU","")</x:f>
      </x:c>
      <x:c r="T183" s="24" t="n">
        <x:f>N183-M183</x:f>
        <x:v>0</x:v>
      </x:c>
      <x:c r="U183" t="str">
        <x:f>IF(AND(K183&gt;0,O183="Paid"),"REFUND STATUS","")</x:f>
      </x:c>
      <x:c r="V183" t="n">
        <x:f>IF(Q183&lt;&gt;"",1,0)+IF(R183&lt;&gt;"",1,0)+IF(S183&lt;&gt;"",1,0)+IF(ABS(T183)&gt;0.01,1,0)+IF(U183&lt;&gt;"",1,0)</x:f>
        <x:v>0</x:v>
      </x:c>
      <x:c r="W183" t="str">
        <x:f>IF(V183=0,"PASS","REVIEW")</x:f>
        <x:v>PASS</x:v>
      </x:c>
    </x:row>
    <x:row r="184">
      <x:c r="A184" t="str">
        <x:v>ORD-5183</x:v>
      </x:c>
      <x:c r="B184" s="26" t="n">
        <x:v>46113</x:v>
      </x:c>
      <x:c r="C184" t="str">
        <x:v>C-1048</x:v>
      </x:c>
      <x:c r="D184" t="str">
        <x:v>SKU-107</x:v>
      </x:c>
      <x:c r="E184" t="n">
        <x:v>3</x:v>
      </x:c>
      <x:c r="F184" s="24" t="n">
        <x:v>9</x:v>
      </x:c>
      <x:c r="G184" s="24" t="n">
        <x:v>27</x:v>
      </x:c>
      <x:c r="H184" s="24" t="n">
        <x:v>0</x:v>
      </x:c>
      <x:c r="I184" s="24" t="n">
        <x:v>1.62</x:v>
      </x:c>
      <x:c r="J184" s="24" t="n">
        <x:v>6.95</x:v>
      </x:c>
      <x:c r="K184" s="24" t="n">
        <x:v>0</x:v>
      </x:c>
      <x:c r="L184" s="24" t="n">
        <x:v>1.33</x:v>
      </x:c>
      <x:c r="M184" s="24" t="n">
        <x:v>34.24</x:v>
      </x:c>
      <x:c r="N184" s="24" t="n">
        <x:v>34.24</x:v>
      </x:c>
      <x:c r="O184" t="str">
        <x:v>Paid</x:v>
      </x:c>
      <x:c r="P184" t="str">
        <x:v>Delivered</x:v>
      </x:c>
      <x:c r="Q184" t="str">
        <x:f>IF(COUNTIF($A$2:$A$241,A184)&gt;1,"DUPLICATE","")</x:f>
      </x:c>
      <x:c r="R184" t="str">
        <x:f>IF(OR(A184="",B184="",C184="",D184="",E184=""),"MISSING","")</x:f>
      </x:c>
      <x:c r="S184" t="str">
        <x:f>IF(COUNTIF('Product Master'!$A$2:$A$9,D184)=0,"INVALID SKU","")</x:f>
      </x:c>
      <x:c r="T184" s="24" t="n">
        <x:f>N184-M184</x:f>
        <x:v>0</x:v>
      </x:c>
      <x:c r="U184" t="str">
        <x:f>IF(AND(K184&gt;0,O184="Paid"),"REFUND STATUS","")</x:f>
      </x:c>
      <x:c r="V184" t="n">
        <x:f>IF(Q184&lt;&gt;"",1,0)+IF(R184&lt;&gt;"",1,0)+IF(S184&lt;&gt;"",1,0)+IF(ABS(T184)&gt;0.01,1,0)+IF(U184&lt;&gt;"",1,0)</x:f>
        <x:v>0</x:v>
      </x:c>
      <x:c r="W184" t="str">
        <x:f>IF(V184=0,"PASS","REVIEW")</x:f>
        <x:v>PASS</x:v>
      </x:c>
    </x:row>
    <x:row r="185">
      <x:c r="A185" t="str">
        <x:v>ORD-5184</x:v>
      </x:c>
      <x:c r="B185" s="26" t="n">
        <x:v>46114</x:v>
      </x:c>
      <x:c r="C185" t="str">
        <x:v>C-1049</x:v>
      </x:c>
      <x:c r="D185" t="str">
        <x:v>SKU-108</x:v>
      </x:c>
      <x:c r="E185" t="n">
        <x:v>1</x:v>
      </x:c>
      <x:c r="F185" s="24" t="n">
        <x:v>42</x:v>
      </x:c>
      <x:c r="G185" s="24" t="n">
        <x:v>42</x:v>
      </x:c>
      <x:c r="H185" s="24" t="n">
        <x:v>0</x:v>
      </x:c>
      <x:c r="I185" s="24" t="n">
        <x:v>2.52</x:v>
      </x:c>
      <x:c r="J185" s="24" t="n">
        <x:v>6.95</x:v>
      </x:c>
      <x:c r="K185" s="24" t="n">
        <x:v>0</x:v>
      </x:c>
      <x:c r="L185" s="24" t="n">
        <x:v>1.79</x:v>
      </x:c>
      <x:c r="M185" s="24" t="n">
        <x:v>49.68</x:v>
      </x:c>
      <x:c r="N185" s="24" t="n">
        <x:v>49.68</x:v>
      </x:c>
      <x:c r="O185" t="str">
        <x:v>Paid</x:v>
      </x:c>
      <x:c r="P185" t="str">
        <x:v>Delivered</x:v>
      </x:c>
      <x:c r="Q185" t="str">
        <x:f>IF(COUNTIF($A$2:$A$241,A185)&gt;1,"DUPLICATE","")</x:f>
      </x:c>
      <x:c r="R185" t="str">
        <x:f>IF(OR(A185="",B185="",C185="",D185="",E185=""),"MISSING","")</x:f>
      </x:c>
      <x:c r="S185" t="str">
        <x:f>IF(COUNTIF('Product Master'!$A$2:$A$9,D185)=0,"INVALID SKU","")</x:f>
      </x:c>
      <x:c r="T185" s="24" t="n">
        <x:f>N185-M185</x:f>
        <x:v>0</x:v>
      </x:c>
      <x:c r="U185" t="str">
        <x:f>IF(AND(K185&gt;0,O185="Paid"),"REFUND STATUS","")</x:f>
      </x:c>
      <x:c r="V185" t="n">
        <x:f>IF(Q185&lt;&gt;"",1,0)+IF(R185&lt;&gt;"",1,0)+IF(S185&lt;&gt;"",1,0)+IF(ABS(T185)&gt;0.01,1,0)+IF(U185&lt;&gt;"",1,0)</x:f>
        <x:v>0</x:v>
      </x:c>
      <x:c r="W185" t="str">
        <x:f>IF(V185=0,"PASS","REVIEW")</x:f>
        <x:v>PASS</x:v>
      </x:c>
    </x:row>
    <x:row r="186">
      <x:c r="A186" t="str">
        <x:v>ORD-5185</x:v>
      </x:c>
      <x:c r="B186" s="26" t="n">
        <x:v>46115</x:v>
      </x:c>
      <x:c r="C186" t="str">
        <x:v>C-1050</x:v>
      </x:c>
      <x:c r="D186" t="str">
        <x:v>SKU-101</x:v>
      </x:c>
      <x:c r="E186" t="n">
        <x:v>2</x:v>
      </x:c>
      <x:c r="F186" s="24" t="n">
        <x:v>24</x:v>
      </x:c>
      <x:c r="G186" s="24" t="n">
        <x:v>48</x:v>
      </x:c>
      <x:c r="H186" s="24" t="n">
        <x:v>0</x:v>
      </x:c>
      <x:c r="I186" s="24" t="n">
        <x:v>2.88</x:v>
      </x:c>
      <x:c r="J186" s="24" t="n">
        <x:v>6.95</x:v>
      </x:c>
      <x:c r="K186" s="24" t="n">
        <x:v>0</x:v>
      </x:c>
      <x:c r="L186" s="24" t="n">
        <x:v>1.98</x:v>
      </x:c>
      <x:c r="M186" s="24" t="n">
        <x:v>55.85</x:v>
      </x:c>
      <x:c r="N186" s="24" t="n">
        <x:v>55.85</x:v>
      </x:c>
      <x:c r="O186" t="str">
        <x:v>Paid</x:v>
      </x:c>
      <x:c r="P186" t="str">
        <x:v>Delivered</x:v>
      </x:c>
      <x:c r="Q186" t="str">
        <x:f>IF(COUNTIF($A$2:$A$241,A186)&gt;1,"DUPLICATE","")</x:f>
      </x:c>
      <x:c r="R186" t="str">
        <x:f>IF(OR(A186="",B186="",C186="",D186="",E186=""),"MISSING","")</x:f>
      </x:c>
      <x:c r="S186" t="str">
        <x:f>IF(COUNTIF('Product Master'!$A$2:$A$9,D186)=0,"INVALID SKU","")</x:f>
      </x:c>
      <x:c r="T186" s="24" t="n">
        <x:f>N186-M186</x:f>
        <x:v>0</x:v>
      </x:c>
      <x:c r="U186" t="str">
        <x:f>IF(AND(K186&gt;0,O186="Paid"),"REFUND STATUS","")</x:f>
      </x:c>
      <x:c r="V186" t="n">
        <x:f>IF(Q186&lt;&gt;"",1,0)+IF(R186&lt;&gt;"",1,0)+IF(S186&lt;&gt;"",1,0)+IF(ABS(T186)&gt;0.01,1,0)+IF(U186&lt;&gt;"",1,0)</x:f>
        <x:v>0</x:v>
      </x:c>
      <x:c r="W186" t="str">
        <x:f>IF(V186=0,"PASS","REVIEW")</x:f>
        <x:v>PASS</x:v>
      </x:c>
    </x:row>
    <x:row r="187">
      <x:c r="A187" t="str">
        <x:v>ORD-5186</x:v>
      </x:c>
      <x:c r="B187" s="26" t="n">
        <x:v>46116</x:v>
      </x:c>
      <x:c r="C187" t="str">
        <x:v>C-1051</x:v>
      </x:c>
      <x:c r="D187" t="str">
        <x:v>SKU-102</x:v>
      </x:c>
      <x:c r="E187" t="n">
        <x:v>3</x:v>
      </x:c>
      <x:c r="F187" s="24" t="n">
        <x:v>28</x:v>
      </x:c>
      <x:c r="G187" s="24" t="n">
        <x:v>84</x:v>
      </x:c>
      <x:c r="H187" s="24" t="n">
        <x:v>0</x:v>
      </x:c>
      <x:c r="I187" s="24" t="n">
        <x:v>5.04</x:v>
      </x:c>
      <x:c r="J187" s="24" t="n">
        <x:v>0</x:v>
      </x:c>
      <x:c r="K187" s="24" t="n">
        <x:v>0</x:v>
      </x:c>
      <x:c r="L187" s="24" t="n">
        <x:v>2.88</x:v>
      </x:c>
      <x:c r="M187" s="24" t="n">
        <x:v>86.16</x:v>
      </x:c>
      <x:c r="N187" s="24" t="n">
        <x:v>86.16</x:v>
      </x:c>
      <x:c r="O187" t="str">
        <x:v>Paid</x:v>
      </x:c>
      <x:c r="P187" t="str">
        <x:v>Delivered</x:v>
      </x:c>
      <x:c r="Q187" t="str">
        <x:f>IF(COUNTIF($A$2:$A$241,A187)&gt;1,"DUPLICATE","")</x:f>
      </x:c>
      <x:c r="R187" t="str">
        <x:f>IF(OR(A187="",B187="",C187="",D187="",E187=""),"MISSING","")</x:f>
      </x:c>
      <x:c r="S187" t="str">
        <x:f>IF(COUNTIF('Product Master'!$A$2:$A$9,D187)=0,"INVALID SKU","")</x:f>
      </x:c>
      <x:c r="T187" s="24" t="n">
        <x:f>N187-M187</x:f>
        <x:v>0</x:v>
      </x:c>
      <x:c r="U187" t="str">
        <x:f>IF(AND(K187&gt;0,O187="Paid"),"REFUND STATUS","")</x:f>
      </x:c>
      <x:c r="V187" t="n">
        <x:f>IF(Q187&lt;&gt;"",1,0)+IF(R187&lt;&gt;"",1,0)+IF(S187&lt;&gt;"",1,0)+IF(ABS(T187)&gt;0.01,1,0)+IF(U187&lt;&gt;"",1,0)</x:f>
        <x:v>0</x:v>
      </x:c>
      <x:c r="W187" t="str">
        <x:f>IF(V187=0,"PASS","REVIEW")</x:f>
        <x:v>PASS</x:v>
      </x:c>
    </x:row>
    <x:row r="188">
      <x:c r="A188" t="str">
        <x:v>ORD-5187</x:v>
      </x:c>
      <x:c r="B188" s="26" t="n">
        <x:v>46117</x:v>
      </x:c>
      <x:c r="C188" t="str">
        <x:v>C-1052</x:v>
      </x:c>
      <x:c r="D188" t="str">
        <x:v>SKU-103</x:v>
      </x:c>
      <x:c r="E188" t="n">
        <x:v>1</x:v>
      </x:c>
      <x:c r="F188" s="24" t="n">
        <x:v>16</x:v>
      </x:c>
      <x:c r="G188" s="24" t="n">
        <x:v>16</x:v>
      </x:c>
      <x:c r="H188" s="24" t="n">
        <x:v>0</x:v>
      </x:c>
      <x:c r="I188" s="24" t="n">
        <x:v>0.96</x:v>
      </x:c>
      <x:c r="J188" s="24" t="n">
        <x:v>6.95</x:v>
      </x:c>
      <x:c r="K188" s="24" t="n">
        <x:v>0</x:v>
      </x:c>
      <x:c r="L188" s="24" t="n">
        <x:v>0.99</x:v>
      </x:c>
      <x:c r="M188" s="24" t="n">
        <x:v>22.92</x:v>
      </x:c>
      <x:c r="N188" s="24" t="n">
        <x:v>22.92</x:v>
      </x:c>
      <x:c r="O188" t="str">
        <x:v>Paid</x:v>
      </x:c>
      <x:c r="P188" t="str">
        <x:v>Delivered</x:v>
      </x:c>
      <x:c r="Q188" t="str">
        <x:f>IF(COUNTIF($A$2:$A$241,A188)&gt;1,"DUPLICATE","")</x:f>
      </x:c>
      <x:c r="R188" t="str">
        <x:f>IF(OR(A188="",B188="",C188="",D188="",E188=""),"MISSING","")</x:f>
      </x:c>
      <x:c r="S188" t="str">
        <x:f>IF(COUNTIF('Product Master'!$A$2:$A$9,D188)=0,"INVALID SKU","")</x:f>
      </x:c>
      <x:c r="T188" s="24" t="n">
        <x:f>N188-M188</x:f>
        <x:v>0</x:v>
      </x:c>
      <x:c r="U188" t="str">
        <x:f>IF(AND(K188&gt;0,O188="Paid"),"REFUND STATUS","")</x:f>
      </x:c>
      <x:c r="V188" t="n">
        <x:f>IF(Q188&lt;&gt;"",1,0)+IF(R188&lt;&gt;"",1,0)+IF(S188&lt;&gt;"",1,0)+IF(ABS(T188)&gt;0.01,1,0)+IF(U188&lt;&gt;"",1,0)</x:f>
        <x:v>0</x:v>
      </x:c>
      <x:c r="W188" t="str">
        <x:f>IF(V188=0,"PASS","REVIEW")</x:f>
        <x:v>PASS</x:v>
      </x:c>
    </x:row>
    <x:row r="189">
      <x:c r="A189" t="str">
        <x:v>ORD-5188</x:v>
      </x:c>
      <x:c r="B189" s="26" t="n">
        <x:v>46118</x:v>
      </x:c>
      <x:c r="C189" t="str">
        <x:v>C-1053</x:v>
      </x:c>
      <x:c r="D189" t="str">
        <x:v>SKU-104</x:v>
      </x:c>
      <x:c r="E189" t="n">
        <x:v>2</x:v>
      </x:c>
      <x:c r="F189" s="24" t="n">
        <x:v>58</x:v>
      </x:c>
      <x:c r="G189" s="24" t="n">
        <x:v>116</x:v>
      </x:c>
      <x:c r="H189" s="24" t="n">
        <x:v>0</x:v>
      </x:c>
      <x:c r="I189" s="24" t="n">
        <x:v>6.96</x:v>
      </x:c>
      <x:c r="J189" s="24" t="n">
        <x:v>0</x:v>
      </x:c>
      <x:c r="K189" s="24" t="n">
        <x:v>0</x:v>
      </x:c>
      <x:c r="L189" s="24" t="n">
        <x:v>3.87</x:v>
      </x:c>
      <x:c r="M189" s="24" t="n">
        <x:v>119.09</x:v>
      </x:c>
      <x:c r="N189" s="24" t="n">
        <x:v>119.09</x:v>
      </x:c>
      <x:c r="O189" t="str">
        <x:v>Paid</x:v>
      </x:c>
      <x:c r="P189" t="str">
        <x:v>Delivered</x:v>
      </x:c>
      <x:c r="Q189" t="str">
        <x:f>IF(COUNTIF($A$2:$A$241,A189)&gt;1,"DUPLICATE","")</x:f>
      </x:c>
      <x:c r="R189" t="str">
        <x:f>IF(OR(A189="",B189="",C189="",D189="",E189=""),"MISSING","")</x:f>
      </x:c>
      <x:c r="S189" t="str">
        <x:f>IF(COUNTIF('Product Master'!$A$2:$A$9,D189)=0,"INVALID SKU","")</x:f>
      </x:c>
      <x:c r="T189" s="24" t="n">
        <x:f>N189-M189</x:f>
        <x:v>0</x:v>
      </x:c>
      <x:c r="U189" t="str">
        <x:f>IF(AND(K189&gt;0,O189="Paid"),"REFUND STATUS","")</x:f>
      </x:c>
      <x:c r="V189" t="n">
        <x:f>IF(Q189&lt;&gt;"",1,0)+IF(R189&lt;&gt;"",1,0)+IF(S189&lt;&gt;"",1,0)+IF(ABS(T189)&gt;0.01,1,0)+IF(U189&lt;&gt;"",1,0)</x:f>
        <x:v>0</x:v>
      </x:c>
      <x:c r="W189" t="str">
        <x:f>IF(V189=0,"PASS","REVIEW")</x:f>
        <x:v>PASS</x:v>
      </x:c>
    </x:row>
    <x:row r="190">
      <x:c r="A190" t="str">
        <x:v>ORD-5189</x:v>
      </x:c>
      <x:c r="B190" s="26" t="n">
        <x:v>46119</x:v>
      </x:c>
      <x:c r="C190" t="str">
        <x:v>C-1054</x:v>
      </x:c>
      <x:c r="D190" t="str">
        <x:v>SKU-105</x:v>
      </x:c>
      <x:c r="E190" t="n">
        <x:v>3</x:v>
      </x:c>
      <x:c r="F190" s="24" t="n">
        <x:v>32</x:v>
      </x:c>
      <x:c r="G190" s="24" t="n">
        <x:v>96</x:v>
      </x:c>
      <x:c r="H190" s="24" t="n">
        <x:v>0</x:v>
      </x:c>
      <x:c r="I190" s="24" t="n">
        <x:v>5.76</x:v>
      </x:c>
      <x:c r="J190" s="24" t="n">
        <x:v>0</x:v>
      </x:c>
      <x:c r="K190" s="24" t="n">
        <x:v>0</x:v>
      </x:c>
      <x:c r="L190" s="24" t="n">
        <x:v>3.25</x:v>
      </x:c>
      <x:c r="M190" s="24" t="n">
        <x:v>98.51</x:v>
      </x:c>
      <x:c r="N190" s="24" t="n">
        <x:v>98.51</x:v>
      </x:c>
      <x:c r="O190" t="str">
        <x:v>Paid</x:v>
      </x:c>
      <x:c r="P190" t="str">
        <x:v>Delivered</x:v>
      </x:c>
      <x:c r="Q190" t="str">
        <x:f>IF(COUNTIF($A$2:$A$241,A190)&gt;1,"DUPLICATE","")</x:f>
      </x:c>
      <x:c r="R190" t="str">
        <x:f>IF(OR(A190="",B190="",C190="",D190="",E190=""),"MISSING","")</x:f>
      </x:c>
      <x:c r="S190" t="str">
        <x:f>IF(COUNTIF('Product Master'!$A$2:$A$9,D190)=0,"INVALID SKU","")</x:f>
      </x:c>
      <x:c r="T190" s="24" t="n">
        <x:f>N190-M190</x:f>
        <x:v>0</x:v>
      </x:c>
      <x:c r="U190" t="str">
        <x:f>IF(AND(K190&gt;0,O190="Paid"),"REFUND STATUS","")</x:f>
      </x:c>
      <x:c r="V190" t="n">
        <x:f>IF(Q190&lt;&gt;"",1,0)+IF(R190&lt;&gt;"",1,0)+IF(S190&lt;&gt;"",1,0)+IF(ABS(T190)&gt;0.01,1,0)+IF(U190&lt;&gt;"",1,0)</x:f>
        <x:v>0</x:v>
      </x:c>
      <x:c r="W190" t="str">
        <x:f>IF(V190=0,"PASS","REVIEW")</x:f>
        <x:v>PASS</x:v>
      </x:c>
    </x:row>
    <x:row r="191">
      <x:c r="A191" t="str">
        <x:v>ORD-5190</x:v>
      </x:c>
      <x:c r="B191" s="26" t="n">
        <x:v>46120</x:v>
      </x:c>
      <x:c r="C191" t="str">
        <x:v>C-1055</x:v>
      </x:c>
      <x:c r="D191" t="str">
        <x:v>SKU-106</x:v>
      </x:c>
      <x:c r="E191" t="n">
        <x:v>1</x:v>
      </x:c>
      <x:c r="F191" s="24" t="n">
        <x:v>36</x:v>
      </x:c>
      <x:c r="G191" s="24" t="n">
        <x:v>36</x:v>
      </x:c>
      <x:c r="H191" s="24" t="n">
        <x:v>3.6</x:v>
      </x:c>
      <x:c r="I191" s="24" t="n">
        <x:v>1.94</x:v>
      </x:c>
      <x:c r="J191" s="24" t="n">
        <x:v>6.95</x:v>
      </x:c>
      <x:c r="K191" s="24" t="n">
        <x:v>0</x:v>
      </x:c>
      <x:c r="L191" s="24" t="n">
        <x:v>1.5</x:v>
      </x:c>
      <x:c r="M191" s="24" t="n">
        <x:v>39.79</x:v>
      </x:c>
      <x:c r="N191" s="24" t="n">
        <x:v>39.79</x:v>
      </x:c>
      <x:c r="O191" t="str">
        <x:v>Paid</x:v>
      </x:c>
      <x:c r="P191" t="str">
        <x:v>Delivered</x:v>
      </x:c>
      <x:c r="Q191" t="str">
        <x:f>IF(COUNTIF($A$2:$A$241,A191)&gt;1,"DUPLICATE","")</x:f>
      </x:c>
      <x:c r="R191" t="str">
        <x:f>IF(OR(A191="",B191="",C191="",D191="",E191=""),"MISSING","")</x:f>
      </x:c>
      <x:c r="S191" t="str">
        <x:f>IF(COUNTIF('Product Master'!$A$2:$A$9,D191)=0,"INVALID SKU","")</x:f>
      </x:c>
      <x:c r="T191" s="24" t="n">
        <x:f>N191-M191</x:f>
        <x:v>0</x:v>
      </x:c>
      <x:c r="U191" t="str">
        <x:f>IF(AND(K191&gt;0,O191="Paid"),"REFUND STATUS","")</x:f>
      </x:c>
      <x:c r="V191" t="n">
        <x:f>IF(Q191&lt;&gt;"",1,0)+IF(R191&lt;&gt;"",1,0)+IF(S191&lt;&gt;"",1,0)+IF(ABS(T191)&gt;0.01,1,0)+IF(U191&lt;&gt;"",1,0)</x:f>
        <x:v>0</x:v>
      </x:c>
      <x:c r="W191" t="str">
        <x:f>IF(V191=0,"PASS","REVIEW")</x:f>
        <x:v>PASS</x:v>
      </x:c>
    </x:row>
    <x:row r="192">
      <x:c r="A192" t="str">
        <x:v>ORD-5191</x:v>
      </x:c>
      <x:c r="B192" s="26" t="n">
        <x:v>46121</x:v>
      </x:c>
      <x:c r="C192" t="str">
        <x:v>C-1056</x:v>
      </x:c>
      <x:c r="D192" t="str">
        <x:v>SKU-107</x:v>
      </x:c>
      <x:c r="E192" t="n">
        <x:v>2</x:v>
      </x:c>
      <x:c r="F192" s="24" t="n">
        <x:v>9</x:v>
      </x:c>
      <x:c r="G192" s="24" t="n">
        <x:v>18</x:v>
      </x:c>
      <x:c r="H192" s="24" t="n">
        <x:v>0</x:v>
      </x:c>
      <x:c r="I192" s="24" t="n">
        <x:v>1.08</x:v>
      </x:c>
      <x:c r="J192" s="24" t="n">
        <x:v>6.95</x:v>
      </x:c>
      <x:c r="K192" s="24" t="n">
        <x:v>0</x:v>
      </x:c>
      <x:c r="L192" s="24" t="n">
        <x:v>1.05</x:v>
      </x:c>
      <x:c r="M192" s="24" t="n">
        <x:v>24.98</x:v>
      </x:c>
      <x:c r="N192" s="24" t="n">
        <x:v>24.98</x:v>
      </x:c>
      <x:c r="O192" t="str">
        <x:v>Paid</x:v>
      </x:c>
      <x:c r="P192" t="str">
        <x:v>Delivered</x:v>
      </x:c>
      <x:c r="Q192" t="str">
        <x:f>IF(COUNTIF($A$2:$A$241,A192)&gt;1,"DUPLICATE","")</x:f>
      </x:c>
      <x:c r="R192" t="str">
        <x:f>IF(OR(A192="",B192="",C192="",D192="",E192=""),"MISSING","")</x:f>
      </x:c>
      <x:c r="S192" t="str">
        <x:f>IF(COUNTIF('Product Master'!$A$2:$A$9,D192)=0,"INVALID SKU","")</x:f>
      </x:c>
      <x:c r="T192" s="24" t="n">
        <x:f>N192-M192</x:f>
        <x:v>0</x:v>
      </x:c>
      <x:c r="U192" t="str">
        <x:f>IF(AND(K192&gt;0,O192="Paid"),"REFUND STATUS","")</x:f>
      </x:c>
      <x:c r="V192" t="n">
        <x:f>IF(Q192&lt;&gt;"",1,0)+IF(R192&lt;&gt;"",1,0)+IF(S192&lt;&gt;"",1,0)+IF(ABS(T192)&gt;0.01,1,0)+IF(U192&lt;&gt;"",1,0)</x:f>
        <x:v>0</x:v>
      </x:c>
      <x:c r="W192" t="str">
        <x:f>IF(V192=0,"PASS","REVIEW")</x:f>
        <x:v>PASS</x:v>
      </x:c>
    </x:row>
    <x:row r="193">
      <x:c r="A193" t="str">
        <x:v>ORD-5192</x:v>
      </x:c>
      <x:c r="B193" s="26" t="n">
        <x:v>46122</x:v>
      </x:c>
      <x:c r="C193" t="str">
        <x:v>C-1057</x:v>
      </x:c>
      <x:c r="D193" t="str">
        <x:v>SKU-108</x:v>
      </x:c>
      <x:c r="E193" t="n">
        <x:v>3</x:v>
      </x:c>
      <x:c r="F193" s="24" t="n">
        <x:v>42</x:v>
      </x:c>
      <x:c r="G193" s="24" t="n">
        <x:v>126</x:v>
      </x:c>
      <x:c r="H193" s="24" t="n">
        <x:v>0</x:v>
      </x:c>
      <x:c r="I193" s="24" t="n">
        <x:v>7.56</x:v>
      </x:c>
      <x:c r="J193" s="24" t="n">
        <x:v>0</x:v>
      </x:c>
      <x:c r="K193" s="24" t="n">
        <x:v>0</x:v>
      </x:c>
      <x:c r="L193" s="24" t="n">
        <x:v>4.17</x:v>
      </x:c>
      <x:c r="M193" s="24" t="n">
        <x:v>129.39</x:v>
      </x:c>
      <x:c r="N193" s="24" t="n">
        <x:v>129.39</x:v>
      </x:c>
      <x:c r="O193" t="str">
        <x:v>Paid</x:v>
      </x:c>
      <x:c r="P193" t="str">
        <x:v>Delivered</x:v>
      </x:c>
      <x:c r="Q193" t="str">
        <x:f>IF(COUNTIF($A$2:$A$241,A193)&gt;1,"DUPLICATE","")</x:f>
      </x:c>
      <x:c r="R193" t="str">
        <x:f>IF(OR(A193="",B193="",C193="",D193="",E193=""),"MISSING","")</x:f>
      </x:c>
      <x:c r="S193" t="str">
        <x:f>IF(COUNTIF('Product Master'!$A$2:$A$9,D193)=0,"INVALID SKU","")</x:f>
      </x:c>
      <x:c r="T193" s="24" t="n">
        <x:f>N193-M193</x:f>
        <x:v>0</x:v>
      </x:c>
      <x:c r="U193" t="str">
        <x:f>IF(AND(K193&gt;0,O193="Paid"),"REFUND STATUS","")</x:f>
      </x:c>
      <x:c r="V193" t="n">
        <x:f>IF(Q193&lt;&gt;"",1,0)+IF(R193&lt;&gt;"",1,0)+IF(S193&lt;&gt;"",1,0)+IF(ABS(T193)&gt;0.01,1,0)+IF(U193&lt;&gt;"",1,0)</x:f>
        <x:v>0</x:v>
      </x:c>
      <x:c r="W193" t="str">
        <x:f>IF(V193=0,"PASS","REVIEW")</x:f>
        <x:v>PASS</x:v>
      </x:c>
    </x:row>
    <x:row r="194">
      <x:c r="A194" t="str">
        <x:v>ORD-5193</x:v>
      </x:c>
      <x:c r="B194" s="26" t="n">
        <x:v>46123</x:v>
      </x:c>
      <x:c r="C194" t="str">
        <x:v>C-1058</x:v>
      </x:c>
      <x:c r="D194" t="str">
        <x:v>SKU-101</x:v>
      </x:c>
      <x:c r="E194" t="n">
        <x:v>1</x:v>
      </x:c>
      <x:c r="F194" s="24" t="n">
        <x:v>24</x:v>
      </x:c>
      <x:c r="G194" s="24" t="n">
        <x:v>24</x:v>
      </x:c>
      <x:c r="H194" s="24" t="n">
        <x:v>0</x:v>
      </x:c>
      <x:c r="I194" s="24" t="n">
        <x:v>1.44</x:v>
      </x:c>
      <x:c r="J194" s="24" t="n">
        <x:v>6.95</x:v>
      </x:c>
      <x:c r="K194" s="24" t="n">
        <x:v>0</x:v>
      </x:c>
      <x:c r="L194" s="24" t="n">
        <x:v>1.24</x:v>
      </x:c>
      <x:c r="M194" s="24" t="n">
        <x:v>31.15</x:v>
      </x:c>
      <x:c r="N194" s="24" t="n">
        <x:v>31.15</x:v>
      </x:c>
      <x:c r="O194" t="str">
        <x:v>Paid</x:v>
      </x:c>
      <x:c r="P194" t="str">
        <x:v>Delivered</x:v>
      </x:c>
      <x:c r="Q194" t="str">
        <x:f>IF(COUNTIF($A$2:$A$241,A194)&gt;1,"DUPLICATE","")</x:f>
      </x:c>
      <x:c r="R194" t="str">
        <x:f>IF(OR(A194="",B194="",C194="",D194="",E194=""),"MISSING","")</x:f>
      </x:c>
      <x:c r="S194" t="str">
        <x:f>IF(COUNTIF('Product Master'!$A$2:$A$9,D194)=0,"INVALID SKU","")</x:f>
      </x:c>
      <x:c r="T194" s="24" t="n">
        <x:f>N194-M194</x:f>
        <x:v>0</x:v>
      </x:c>
      <x:c r="U194" t="str">
        <x:f>IF(AND(K194&gt;0,O194="Paid"),"REFUND STATUS","")</x:f>
      </x:c>
      <x:c r="V194" t="n">
        <x:f>IF(Q194&lt;&gt;"",1,0)+IF(R194&lt;&gt;"",1,0)+IF(S194&lt;&gt;"",1,0)+IF(ABS(T194)&gt;0.01,1,0)+IF(U194&lt;&gt;"",1,0)</x:f>
        <x:v>0</x:v>
      </x:c>
      <x:c r="W194" t="str">
        <x:f>IF(V194=0,"PASS","REVIEW")</x:f>
        <x:v>PASS</x:v>
      </x:c>
    </x:row>
    <x:row r="195">
      <x:c r="A195" t="str">
        <x:v>ORD-5194</x:v>
      </x:c>
      <x:c r="B195" s="26" t="n">
        <x:v>46124</x:v>
      </x:c>
      <x:c r="C195" t="str">
        <x:v>C-1059</x:v>
      </x:c>
      <x:c r="D195" t="str">
        <x:v>SKU-102</x:v>
      </x:c>
      <x:c r="E195" t="n">
        <x:v>2</x:v>
      </x:c>
      <x:c r="F195" s="24" t="n">
        <x:v>28</x:v>
      </x:c>
      <x:c r="G195" s="24" t="n">
        <x:v>56</x:v>
      </x:c>
      <x:c r="H195" s="24" t="n">
        <x:v>0</x:v>
      </x:c>
      <x:c r="I195" s="24" t="n">
        <x:v>3.36</x:v>
      </x:c>
      <x:c r="J195" s="24" t="n">
        <x:v>6.95</x:v>
      </x:c>
      <x:c r="K195" s="24" t="n">
        <x:v>0</x:v>
      </x:c>
      <x:c r="L195" s="24" t="n">
        <x:v>2.22</x:v>
      </x:c>
      <x:c r="M195" s="24" t="n">
        <x:v>64.09</x:v>
      </x:c>
      <x:c r="N195" s="24" t="n">
        <x:v>64.09</x:v>
      </x:c>
      <x:c r="O195" t="str">
        <x:v>Paid</x:v>
      </x:c>
      <x:c r="P195" t="str">
        <x:v>Delivered</x:v>
      </x:c>
      <x:c r="Q195" t="str">
        <x:f>IF(COUNTIF($A$2:$A$241,A195)&gt;1,"DUPLICATE","")</x:f>
      </x:c>
      <x:c r="R195" t="str">
        <x:f>IF(OR(A195="",B195="",C195="",D195="",E195=""),"MISSING","")</x:f>
      </x:c>
      <x:c r="S195" t="str">
        <x:f>IF(COUNTIF('Product Master'!$A$2:$A$9,D195)=0,"INVALID SKU","")</x:f>
      </x:c>
      <x:c r="T195" s="24" t="n">
        <x:f>N195-M195</x:f>
        <x:v>0</x:v>
      </x:c>
      <x:c r="U195" t="str">
        <x:f>IF(AND(K195&gt;0,O195="Paid"),"REFUND STATUS","")</x:f>
      </x:c>
      <x:c r="V195" t="n">
        <x:f>IF(Q195&lt;&gt;"",1,0)+IF(R195&lt;&gt;"",1,0)+IF(S195&lt;&gt;"",1,0)+IF(ABS(T195)&gt;0.01,1,0)+IF(U195&lt;&gt;"",1,0)</x:f>
        <x:v>0</x:v>
      </x:c>
      <x:c r="W195" t="str">
        <x:f>IF(V195=0,"PASS","REVIEW")</x:f>
        <x:v>PASS</x:v>
      </x:c>
    </x:row>
    <x:row r="196">
      <x:c r="A196" t="str">
        <x:v>ORD-5195</x:v>
      </x:c>
      <x:c r="B196" s="26" t="n">
        <x:v>46125</x:v>
      </x:c>
      <x:c r="C196" t="str">
        <x:v>C-1060</x:v>
      </x:c>
      <x:c r="D196" t="str">
        <x:v>SKU-103</x:v>
      </x:c>
      <x:c r="E196" t="n">
        <x:v>3</x:v>
      </x:c>
      <x:c r="F196" s="24" t="n">
        <x:v>16</x:v>
      </x:c>
      <x:c r="G196" s="24" t="n">
        <x:v>48</x:v>
      </x:c>
      <x:c r="H196" s="24" t="n">
        <x:v>0</x:v>
      </x:c>
      <x:c r="I196" s="24" t="n">
        <x:v>2.88</x:v>
      </x:c>
      <x:c r="J196" s="24" t="n">
        <x:v>6.95</x:v>
      </x:c>
      <x:c r="K196" s="24" t="n">
        <x:v>0</x:v>
      </x:c>
      <x:c r="L196" s="24" t="n">
        <x:v>1.98</x:v>
      </x:c>
      <x:c r="M196" s="24" t="n">
        <x:v>55.85</x:v>
      </x:c>
      <x:c r="N196" s="24" t="n">
        <x:v>55.85</x:v>
      </x:c>
      <x:c r="O196" t="str">
        <x:v>Paid</x:v>
      </x:c>
      <x:c r="P196" t="str">
        <x:v>Delivered</x:v>
      </x:c>
      <x:c r="Q196" t="str">
        <x:f>IF(COUNTIF($A$2:$A$241,A196)&gt;1,"DUPLICATE","")</x:f>
      </x:c>
      <x:c r="R196" t="str">
        <x:f>IF(OR(A196="",B196="",C196="",D196="",E196=""),"MISSING","")</x:f>
      </x:c>
      <x:c r="S196" t="str">
        <x:f>IF(COUNTIF('Product Master'!$A$2:$A$9,D196)=0,"INVALID SKU","")</x:f>
      </x:c>
      <x:c r="T196" s="24" t="n">
        <x:f>N196-M196</x:f>
        <x:v>0</x:v>
      </x:c>
      <x:c r="U196" t="str">
        <x:f>IF(AND(K196&gt;0,O196="Paid"),"REFUND STATUS","")</x:f>
      </x:c>
      <x:c r="V196" t="n">
        <x:f>IF(Q196&lt;&gt;"",1,0)+IF(R196&lt;&gt;"",1,0)+IF(S196&lt;&gt;"",1,0)+IF(ABS(T196)&gt;0.01,1,0)+IF(U196&lt;&gt;"",1,0)</x:f>
        <x:v>0</x:v>
      </x:c>
      <x:c r="W196" t="str">
        <x:f>IF(V196=0,"PASS","REVIEW")</x:f>
        <x:v>PASS</x:v>
      </x:c>
    </x:row>
    <x:row r="197">
      <x:c r="A197" t="str">
        <x:v>ORD-5196</x:v>
      </x:c>
      <x:c r="B197" s="26" t="n">
        <x:v>46126</x:v>
      </x:c>
      <x:c r="C197" t="str">
        <x:v>C-1061</x:v>
      </x:c>
      <x:c r="D197" t="str">
        <x:v>SKU-104</x:v>
      </x:c>
      <x:c r="E197" t="n">
        <x:v>1</x:v>
      </x:c>
      <x:c r="F197" s="24" t="n">
        <x:v>58</x:v>
      </x:c>
      <x:c r="G197" s="24" t="n">
        <x:v>58</x:v>
      </x:c>
      <x:c r="H197" s="24" t="n">
        <x:v>0</x:v>
      </x:c>
      <x:c r="I197" s="24" t="n">
        <x:v>3.48</x:v>
      </x:c>
      <x:c r="J197" s="24" t="n">
        <x:v>6.95</x:v>
      </x:c>
      <x:c r="K197" s="24" t="n">
        <x:v>0</x:v>
      </x:c>
      <x:c r="L197" s="24" t="n">
        <x:v>2.28</x:v>
      </x:c>
      <x:c r="M197" s="24" t="n">
        <x:v>66.15</x:v>
      </x:c>
      <x:c r="N197" s="24" t="n">
        <x:v>66.15</x:v>
      </x:c>
      <x:c r="O197" t="str">
        <x:v>Paid</x:v>
      </x:c>
      <x:c r="P197" t="str">
        <x:v>Delivered</x:v>
      </x:c>
      <x:c r="Q197" t="str">
        <x:f>IF(COUNTIF($A$2:$A$241,A197)&gt;1,"DUPLICATE","")</x:f>
      </x:c>
      <x:c r="R197" t="str">
        <x:f>IF(OR(A197="",B197="",C197="",D197="",E197=""),"MISSING","")</x:f>
      </x:c>
      <x:c r="S197" t="str">
        <x:f>IF(COUNTIF('Product Master'!$A$2:$A$9,D197)=0,"INVALID SKU","")</x:f>
      </x:c>
      <x:c r="T197" s="24" t="n">
        <x:f>N197-M197</x:f>
        <x:v>0</x:v>
      </x:c>
      <x:c r="U197" t="str">
        <x:f>IF(AND(K197&gt;0,O197="Paid"),"REFUND STATUS","")</x:f>
      </x:c>
      <x:c r="V197" t="n">
        <x:f>IF(Q197&lt;&gt;"",1,0)+IF(R197&lt;&gt;"",1,0)+IF(S197&lt;&gt;"",1,0)+IF(ABS(T197)&gt;0.01,1,0)+IF(U197&lt;&gt;"",1,0)</x:f>
        <x:v>0</x:v>
      </x:c>
      <x:c r="W197" t="str">
        <x:f>IF(V197=0,"PASS","REVIEW")</x:f>
        <x:v>PASS</x:v>
      </x:c>
    </x:row>
    <x:row r="198">
      <x:c r="A198" t="str">
        <x:v>ORD-5197</x:v>
      </x:c>
      <x:c r="B198" s="26" t="n">
        <x:v>46127</x:v>
      </x:c>
      <x:c r="C198" t="str">
        <x:v>C-1062</x:v>
      </x:c>
      <x:c r="D198" t="str">
        <x:v>SKU-105</x:v>
      </x:c>
      <x:c r="E198" t="n">
        <x:v>2</x:v>
      </x:c>
      <x:c r="F198" s="24" t="n">
        <x:v>32</x:v>
      </x:c>
      <x:c r="G198" s="24" t="n">
        <x:v>64</x:v>
      </x:c>
      <x:c r="H198" s="24" t="n">
        <x:v>0</x:v>
      </x:c>
      <x:c r="I198" s="24" t="n">
        <x:v>3.84</x:v>
      </x:c>
      <x:c r="J198" s="24" t="n">
        <x:v>0</x:v>
      </x:c>
      <x:c r="K198" s="24" t="n">
        <x:v>0</x:v>
      </x:c>
      <x:c r="L198" s="24" t="n">
        <x:v>2.27</x:v>
      </x:c>
      <x:c r="M198" s="24" t="n">
        <x:v>65.57</x:v>
      </x:c>
      <x:c r="N198" s="24" t="n">
        <x:v>65.57</x:v>
      </x:c>
      <x:c r="O198" t="str">
        <x:v>Paid</x:v>
      </x:c>
      <x:c r="P198" t="str">
        <x:v>Delivered</x:v>
      </x:c>
      <x:c r="Q198" t="str">
        <x:f>IF(COUNTIF($A$2:$A$241,A198)&gt;1,"DUPLICATE","")</x:f>
      </x:c>
      <x:c r="R198" t="str">
        <x:f>IF(OR(A198="",B198="",C198="",D198="",E198=""),"MISSING","")</x:f>
      </x:c>
      <x:c r="S198" t="str">
        <x:f>IF(COUNTIF('Product Master'!$A$2:$A$9,D198)=0,"INVALID SKU","")</x:f>
      </x:c>
      <x:c r="T198" s="24" t="n">
        <x:f>N198-M198</x:f>
        <x:v>0</x:v>
      </x:c>
      <x:c r="U198" t="str">
        <x:f>IF(AND(K198&gt;0,O198="Paid"),"REFUND STATUS","")</x:f>
      </x:c>
      <x:c r="V198" t="n">
        <x:f>IF(Q198&lt;&gt;"",1,0)+IF(R198&lt;&gt;"",1,0)+IF(S198&lt;&gt;"",1,0)+IF(ABS(T198)&gt;0.01,1,0)+IF(U198&lt;&gt;"",1,0)</x:f>
        <x:v>0</x:v>
      </x:c>
      <x:c r="W198" t="str">
        <x:f>IF(V198=0,"PASS","REVIEW")</x:f>
        <x:v>PASS</x:v>
      </x:c>
    </x:row>
    <x:row r="199">
      <x:c r="A199" t="str">
        <x:v>ORD-5198</x:v>
      </x:c>
      <x:c r="B199" s="26" t="n">
        <x:v>46128</x:v>
      </x:c>
      <x:c r="C199" t="str">
        <x:v>C-1063</x:v>
      </x:c>
      <x:c r="D199" t="str">
        <x:v>SKU-106</x:v>
      </x:c>
      <x:c r="E199" t="n">
        <x:v>3</x:v>
      </x:c>
      <x:c r="F199" s="24" t="n">
        <x:v>36</x:v>
      </x:c>
      <x:c r="G199" s="24" t="n">
        <x:v>108</x:v>
      </x:c>
      <x:c r="H199" s="24" t="n">
        <x:v>0</x:v>
      </x:c>
      <x:c r="I199" s="24" t="n">
        <x:v>6.48</x:v>
      </x:c>
      <x:c r="J199" s="24" t="n">
        <x:v>0</x:v>
      </x:c>
      <x:c r="K199" s="24" t="n">
        <x:v>0</x:v>
      </x:c>
      <x:c r="L199" s="24" t="n">
        <x:v>3.62</x:v>
      </x:c>
      <x:c r="M199" s="24" t="n">
        <x:v>110.86</x:v>
      </x:c>
      <x:c r="N199" s="24" t="n">
        <x:v>110.86</x:v>
      </x:c>
      <x:c r="O199" t="str">
        <x:v>Paid</x:v>
      </x:c>
      <x:c r="P199" t="str">
        <x:v>Delivered</x:v>
      </x:c>
      <x:c r="Q199" t="str">
        <x:f>IF(COUNTIF($A$2:$A$241,A199)&gt;1,"DUPLICATE","")</x:f>
      </x:c>
      <x:c r="R199" t="str">
        <x:f>IF(OR(A199="",B199="",C199="",D199="",E199=""),"MISSING","")</x:f>
      </x:c>
      <x:c r="S199" t="str">
        <x:f>IF(COUNTIF('Product Master'!$A$2:$A$9,D199)=0,"INVALID SKU","")</x:f>
      </x:c>
      <x:c r="T199" s="24" t="n">
        <x:f>N199-M199</x:f>
        <x:v>0</x:v>
      </x:c>
      <x:c r="U199" t="str">
        <x:f>IF(AND(K199&gt;0,O199="Paid"),"REFUND STATUS","")</x:f>
      </x:c>
      <x:c r="V199" t="n">
        <x:f>IF(Q199&lt;&gt;"",1,0)+IF(R199&lt;&gt;"",1,0)+IF(S199&lt;&gt;"",1,0)+IF(ABS(T199)&gt;0.01,1,0)+IF(U199&lt;&gt;"",1,0)</x:f>
        <x:v>0</x:v>
      </x:c>
      <x:c r="W199" t="str">
        <x:f>IF(V199=0,"PASS","REVIEW")</x:f>
        <x:v>PASS</x:v>
      </x:c>
    </x:row>
    <x:row r="200">
      <x:c r="A200" t="str">
        <x:v>ORD-5199</x:v>
      </x:c>
      <x:c r="B200" s="26" t="n">
        <x:v>46129</x:v>
      </x:c>
      <x:c r="C200" t="str">
        <x:v>C-1064</x:v>
      </x:c>
      <x:c r="D200" t="str">
        <x:v>SKU-107</x:v>
      </x:c>
      <x:c r="E200" t="n">
        <x:v>1</x:v>
      </x:c>
      <x:c r="F200" s="24" t="n">
        <x:v>9</x:v>
      </x:c>
      <x:c r="G200" s="24" t="n">
        <x:v>9</x:v>
      </x:c>
      <x:c r="H200" s="24" t="n">
        <x:v>0.9</x:v>
      </x:c>
      <x:c r="I200" s="24" t="n">
        <x:v>0.49</x:v>
      </x:c>
      <x:c r="J200" s="24" t="n">
        <x:v>6.95</x:v>
      </x:c>
      <x:c r="K200" s="24" t="n">
        <x:v>0</x:v>
      </x:c>
      <x:c r="L200" s="24" t="n">
        <x:v>0.75</x:v>
      </x:c>
      <x:c r="M200" s="24" t="n">
        <x:v>14.79</x:v>
      </x:c>
      <x:c r="N200" s="24" t="n">
        <x:v>14.79</x:v>
      </x:c>
      <x:c r="O200" t="str">
        <x:v>Paid</x:v>
      </x:c>
      <x:c r="P200" t="str">
        <x:v>Delivered</x:v>
      </x:c>
      <x:c r="Q200" t="str">
        <x:f>IF(COUNTIF($A$2:$A$241,A200)&gt;1,"DUPLICATE","")</x:f>
      </x:c>
      <x:c r="R200" t="str">
        <x:f>IF(OR(A200="",B200="",C200="",D200="",E200=""),"MISSING","")</x:f>
      </x:c>
      <x:c r="S200" t="str">
        <x:f>IF(COUNTIF('Product Master'!$A$2:$A$9,D200)=0,"INVALID SKU","")</x:f>
      </x:c>
      <x:c r="T200" s="24" t="n">
        <x:f>N200-M200</x:f>
        <x:v>0</x:v>
      </x:c>
      <x:c r="U200" t="str">
        <x:f>IF(AND(K200&gt;0,O200="Paid"),"REFUND STATUS","")</x:f>
      </x:c>
      <x:c r="V200" t="n">
        <x:f>IF(Q200&lt;&gt;"",1,0)+IF(R200&lt;&gt;"",1,0)+IF(S200&lt;&gt;"",1,0)+IF(ABS(T200)&gt;0.01,1,0)+IF(U200&lt;&gt;"",1,0)</x:f>
        <x:v>0</x:v>
      </x:c>
      <x:c r="W200" t="str">
        <x:f>IF(V200=0,"PASS","REVIEW")</x:f>
        <x:v>PASS</x:v>
      </x:c>
    </x:row>
    <x:row r="201">
      <x:c r="A201" t="str">
        <x:v>ORD-5200</x:v>
      </x:c>
      <x:c r="B201" s="26" t="n">
        <x:v>46130</x:v>
      </x:c>
      <x:c r="C201" t="str">
        <x:v>C-1065</x:v>
      </x:c>
      <x:c r="D201" t="str">
        <x:v>SKU-108</x:v>
      </x:c>
      <x:c r="E201" t="n">
        <x:v>2</x:v>
      </x:c>
      <x:c r="F201" s="24" t="n">
        <x:v>42</x:v>
      </x:c>
      <x:c r="G201" s="24" t="n">
        <x:v>84</x:v>
      </x:c>
      <x:c r="H201" s="24" t="n">
        <x:v>0</x:v>
      </x:c>
      <x:c r="I201" s="24" t="n">
        <x:v>5.04</x:v>
      </x:c>
      <x:c r="J201" s="24" t="n">
        <x:v>0</x:v>
      </x:c>
      <x:c r="K201" s="24" t="n">
        <x:v>0</x:v>
      </x:c>
      <x:c r="L201" s="24" t="n">
        <x:v>2.88</x:v>
      </x:c>
      <x:c r="M201" s="24" t="n">
        <x:v>86.16</x:v>
      </x:c>
      <x:c r="N201" s="24" t="n">
        <x:v>86.16</x:v>
      </x:c>
      <x:c r="O201" t="str">
        <x:v>Paid</x:v>
      </x:c>
      <x:c r="P201" t="str">
        <x:v>Delivered</x:v>
      </x:c>
      <x:c r="Q201" t="str">
        <x:f>IF(COUNTIF($A$2:$A$241,A201)&gt;1,"DUPLICATE","")</x:f>
      </x:c>
      <x:c r="R201" t="str">
        <x:f>IF(OR(A201="",B201="",C201="",D201="",E201=""),"MISSING","")</x:f>
      </x:c>
      <x:c r="S201" t="str">
        <x:f>IF(COUNTIF('Product Master'!$A$2:$A$9,D201)=0,"INVALID SKU","")</x:f>
      </x:c>
      <x:c r="T201" s="24" t="n">
        <x:f>N201-M201</x:f>
        <x:v>0</x:v>
      </x:c>
      <x:c r="U201" t="str">
        <x:f>IF(AND(K201&gt;0,O201="Paid"),"REFUND STATUS","")</x:f>
      </x:c>
      <x:c r="V201" t="n">
        <x:f>IF(Q201&lt;&gt;"",1,0)+IF(R201&lt;&gt;"",1,0)+IF(S201&lt;&gt;"",1,0)+IF(ABS(T201)&gt;0.01,1,0)+IF(U201&lt;&gt;"",1,0)</x:f>
        <x:v>0</x:v>
      </x:c>
      <x:c r="W201" t="str">
        <x:f>IF(V201=0,"PASS","REVIEW")</x:f>
        <x:v>PASS</x:v>
      </x:c>
    </x:row>
    <x:row r="202">
      <x:c r="A202" t="str">
        <x:v>ORD-5201</x:v>
      </x:c>
      <x:c r="B202" s="26" t="n">
        <x:v>46131</x:v>
      </x:c>
      <x:c r="C202" t="str">
        <x:v>C-1066</x:v>
      </x:c>
      <x:c r="D202" t="str">
        <x:v>SKU-101</x:v>
      </x:c>
      <x:c r="E202" t="n">
        <x:v>3</x:v>
      </x:c>
      <x:c r="F202" s="24" t="n">
        <x:v>24</x:v>
      </x:c>
      <x:c r="G202" s="24" t="n">
        <x:v>72</x:v>
      </x:c>
      <x:c r="H202" s="24" t="n">
        <x:v>0</x:v>
      </x:c>
      <x:c r="I202" s="24" t="n">
        <x:v>4.32</x:v>
      </x:c>
      <x:c r="J202" s="24" t="n">
        <x:v>0</x:v>
      </x:c>
      <x:c r="K202" s="24" t="n">
        <x:v>0</x:v>
      </x:c>
      <x:c r="L202" s="24" t="n">
        <x:v>2.51</x:v>
      </x:c>
      <x:c r="M202" s="24" t="n">
        <x:v>73.81</x:v>
      </x:c>
      <x:c r="N202" s="24" t="n">
        <x:v>73.81</x:v>
      </x:c>
      <x:c r="O202" t="str">
        <x:v>Paid</x:v>
      </x:c>
      <x:c r="P202" t="str">
        <x:v>Delivered</x:v>
      </x:c>
      <x:c r="Q202" t="str">
        <x:f>IF(COUNTIF($A$2:$A$241,A202)&gt;1,"DUPLICATE","")</x:f>
      </x:c>
      <x:c r="R202" t="str">
        <x:f>IF(OR(A202="",B202="",C202="",D202="",E202=""),"MISSING","")</x:f>
      </x:c>
      <x:c r="S202" t="str">
        <x:f>IF(COUNTIF('Product Master'!$A$2:$A$9,D202)=0,"INVALID SKU","")</x:f>
      </x:c>
      <x:c r="T202" s="24" t="n">
        <x:f>N202-M202</x:f>
        <x:v>0</x:v>
      </x:c>
      <x:c r="U202" t="str">
        <x:f>IF(AND(K202&gt;0,O202="Paid"),"REFUND STATUS","")</x:f>
      </x:c>
      <x:c r="V202" t="n">
        <x:f>IF(Q202&lt;&gt;"",1,0)+IF(R202&lt;&gt;"",1,0)+IF(S202&lt;&gt;"",1,0)+IF(ABS(T202)&gt;0.01,1,0)+IF(U202&lt;&gt;"",1,0)</x:f>
        <x:v>0</x:v>
      </x:c>
      <x:c r="W202" t="str">
        <x:f>IF(V202=0,"PASS","REVIEW")</x:f>
        <x:v>PASS</x:v>
      </x:c>
    </x:row>
    <x:row r="203">
      <x:c r="A203" t="str">
        <x:v>ORD-5202</x:v>
      </x:c>
      <x:c r="B203" s="26" t="n">
        <x:v>46132</x:v>
      </x:c>
      <x:c r="C203" t="str">
        <x:v>C-1000</x:v>
      </x:c>
      <x:c r="D203" t="str">
        <x:v>SKU-102</x:v>
      </x:c>
      <x:c r="E203" t="n">
        <x:v>1</x:v>
      </x:c>
      <x:c r="F203" s="24" t="n">
        <x:v>28</x:v>
      </x:c>
      <x:c r="G203" s="24" t="n">
        <x:v>28</x:v>
      </x:c>
      <x:c r="H203" s="24" t="n">
        <x:v>0</x:v>
      </x:c>
      <x:c r="I203" s="24" t="n">
        <x:v>1.68</x:v>
      </x:c>
      <x:c r="J203" s="24" t="n">
        <x:v>6.95</x:v>
      </x:c>
      <x:c r="K203" s="24" t="n">
        <x:v>0</x:v>
      </x:c>
      <x:c r="L203" s="24" t="n">
        <x:v>1.36</x:v>
      </x:c>
      <x:c r="M203" s="24" t="n">
        <x:v>35.27</x:v>
      </x:c>
      <x:c r="N203" s="24" t="n">
        <x:v>35.27</x:v>
      </x:c>
      <x:c r="O203" t="str">
        <x:v>Paid</x:v>
      </x:c>
      <x:c r="P203" t="str">
        <x:v>Delivered</x:v>
      </x:c>
      <x:c r="Q203" t="str">
        <x:f>IF(COUNTIF($A$2:$A$241,A203)&gt;1,"DUPLICATE","")</x:f>
      </x:c>
      <x:c r="R203" t="str">
        <x:f>IF(OR(A203="",B203="",C203="",D203="",E203=""),"MISSING","")</x:f>
      </x:c>
      <x:c r="S203" t="str">
        <x:f>IF(COUNTIF('Product Master'!$A$2:$A$9,D203)=0,"INVALID SKU","")</x:f>
      </x:c>
      <x:c r="T203" s="24" t="n">
        <x:f>N203-M203</x:f>
        <x:v>0</x:v>
      </x:c>
      <x:c r="U203" t="str">
        <x:f>IF(AND(K203&gt;0,O203="Paid"),"REFUND STATUS","")</x:f>
      </x:c>
      <x:c r="V203" t="n">
        <x:f>IF(Q203&lt;&gt;"",1,0)+IF(R203&lt;&gt;"",1,0)+IF(S203&lt;&gt;"",1,0)+IF(ABS(T203)&gt;0.01,1,0)+IF(U203&lt;&gt;"",1,0)</x:f>
        <x:v>0</x:v>
      </x:c>
      <x:c r="W203" t="str">
        <x:f>IF(V203=0,"PASS","REVIEW")</x:f>
        <x:v>PASS</x:v>
      </x:c>
    </x:row>
    <x:row r="204">
      <x:c r="A204" t="str">
        <x:v>ORD-5203</x:v>
      </x:c>
      <x:c r="B204" s="26" t="n">
        <x:v>46133</x:v>
      </x:c>
      <x:c r="C204" t="str">
        <x:v>C-1001</x:v>
      </x:c>
      <x:c r="D204" t="str">
        <x:v>SKU-103</x:v>
      </x:c>
      <x:c r="E204" t="n">
        <x:v>2</x:v>
      </x:c>
      <x:c r="F204" s="24" t="n">
        <x:v>16</x:v>
      </x:c>
      <x:c r="G204" s="24" t="n">
        <x:v>32</x:v>
      </x:c>
      <x:c r="H204" s="24" t="n">
        <x:v>0</x:v>
      </x:c>
      <x:c r="I204" s="24" t="n">
        <x:v>1.92</x:v>
      </x:c>
      <x:c r="J204" s="24" t="n">
        <x:v>6.95</x:v>
      </x:c>
      <x:c r="K204" s="24" t="n">
        <x:v>0</x:v>
      </x:c>
      <x:c r="L204" s="24" t="n">
        <x:v>1.49</x:v>
      </x:c>
      <x:c r="M204" s="24" t="n">
        <x:v>39.38</x:v>
      </x:c>
      <x:c r="N204" s="24" t="n">
        <x:v>39.38</x:v>
      </x:c>
      <x:c r="O204" t="str">
        <x:v>Paid</x:v>
      </x:c>
      <x:c r="P204" t="str">
        <x:v>Delivered</x:v>
      </x:c>
      <x:c r="Q204" t="str">
        <x:f>IF(COUNTIF($A$2:$A$241,A204)&gt;1,"DUPLICATE","")</x:f>
      </x:c>
      <x:c r="R204" t="str">
        <x:f>IF(OR(A204="",B204="",C204="",D204="",E204=""),"MISSING","")</x:f>
      </x:c>
      <x:c r="S204" t="str">
        <x:f>IF(COUNTIF('Product Master'!$A$2:$A$9,D204)=0,"INVALID SKU","")</x:f>
      </x:c>
      <x:c r="T204" s="24" t="n">
        <x:f>N204-M204</x:f>
        <x:v>0</x:v>
      </x:c>
      <x:c r="U204" t="str">
        <x:f>IF(AND(K204&gt;0,O204="Paid"),"REFUND STATUS","")</x:f>
      </x:c>
      <x:c r="V204" t="n">
        <x:f>IF(Q204&lt;&gt;"",1,0)+IF(R204&lt;&gt;"",1,0)+IF(S204&lt;&gt;"",1,0)+IF(ABS(T204)&gt;0.01,1,0)+IF(U204&lt;&gt;"",1,0)</x:f>
        <x:v>0</x:v>
      </x:c>
      <x:c r="W204" t="str">
        <x:f>IF(V204=0,"PASS","REVIEW")</x:f>
        <x:v>PASS</x:v>
      </x:c>
    </x:row>
    <x:row r="205">
      <x:c r="A205" t="str">
        <x:v>ORD-5204</x:v>
      </x:c>
      <x:c r="B205" s="26" t="n">
        <x:v>46134</x:v>
      </x:c>
      <x:c r="C205" t="str">
        <x:v>C-1002</x:v>
      </x:c>
      <x:c r="D205" t="str">
        <x:v>SKU-104</x:v>
      </x:c>
      <x:c r="E205" t="n">
        <x:v>3</x:v>
      </x:c>
      <x:c r="F205" s="24" t="n">
        <x:v>58</x:v>
      </x:c>
      <x:c r="G205" s="24" t="n">
        <x:v>174</x:v>
      </x:c>
      <x:c r="H205" s="24" t="n">
        <x:v>0</x:v>
      </x:c>
      <x:c r="I205" s="24" t="n">
        <x:v>10.44</x:v>
      </x:c>
      <x:c r="J205" s="24" t="n">
        <x:v>0</x:v>
      </x:c>
      <x:c r="K205" s="24" t="n">
        <x:v>0</x:v>
      </x:c>
      <x:c r="L205" s="24" t="n">
        <x:v>5.65</x:v>
      </x:c>
      <x:c r="M205" s="24" t="n">
        <x:v>178.79</x:v>
      </x:c>
      <x:c r="N205" s="24" t="n">
        <x:v>178.79</x:v>
      </x:c>
      <x:c r="O205" t="str">
        <x:v>Paid</x:v>
      </x:c>
      <x:c r="P205" t="str">
        <x:v>Delivered</x:v>
      </x:c>
      <x:c r="Q205" t="str">
        <x:f>IF(COUNTIF($A$2:$A$241,A205)&gt;1,"DUPLICATE","")</x:f>
      </x:c>
      <x:c r="R205" t="str">
        <x:f>IF(OR(A205="",B205="",C205="",D205="",E205=""),"MISSING","")</x:f>
      </x:c>
      <x:c r="S205" t="str">
        <x:f>IF(COUNTIF('Product Master'!$A$2:$A$9,D205)=0,"INVALID SKU","")</x:f>
      </x:c>
      <x:c r="T205" s="24" t="n">
        <x:f>N205-M205</x:f>
        <x:v>0</x:v>
      </x:c>
      <x:c r="U205" t="str">
        <x:f>IF(AND(K205&gt;0,O205="Paid"),"REFUND STATUS","")</x:f>
      </x:c>
      <x:c r="V205" t="n">
        <x:f>IF(Q205&lt;&gt;"",1,0)+IF(R205&lt;&gt;"",1,0)+IF(S205&lt;&gt;"",1,0)+IF(ABS(T205)&gt;0.01,1,0)+IF(U205&lt;&gt;"",1,0)</x:f>
        <x:v>0</x:v>
      </x:c>
      <x:c r="W205" t="str">
        <x:f>IF(V205=0,"PASS","REVIEW")</x:f>
        <x:v>PASS</x:v>
      </x:c>
    </x:row>
    <x:row r="206">
      <x:c r="A206" t="str">
        <x:v>ORD-5205</x:v>
      </x:c>
      <x:c r="B206" s="26" t="n">
        <x:v>46135</x:v>
      </x:c>
      <x:c r="C206" t="str">
        <x:v>C-1003</x:v>
      </x:c>
      <x:c r="D206" t="str">
        <x:v>SKU-105</x:v>
      </x:c>
      <x:c r="E206" t="n">
        <x:v>1</x:v>
      </x:c>
      <x:c r="F206" s="24" t="n">
        <x:v>32</x:v>
      </x:c>
      <x:c r="G206" s="24" t="n">
        <x:v>32</x:v>
      </x:c>
      <x:c r="H206" s="24" t="n">
        <x:v>0</x:v>
      </x:c>
      <x:c r="I206" s="24" t="n">
        <x:v>1.92</x:v>
      </x:c>
      <x:c r="J206" s="24" t="n">
        <x:v>6.95</x:v>
      </x:c>
      <x:c r="K206" s="24" t="n">
        <x:v>40.87</x:v>
      </x:c>
      <x:c r="L206" s="24" t="n">
        <x:v>0</x:v>
      </x:c>
      <x:c r="M206" s="24" t="n">
        <x:v>0</x:v>
      </x:c>
      <x:c r="N206" s="24" t="n">
        <x:v>0</x:v>
      </x:c>
      <x:c r="O206" t="str">
        <x:v>Refunded</x:v>
      </x:c>
      <x:c r="P206" t="str">
        <x:v>Delivered</x:v>
      </x:c>
      <x:c r="Q206" t="str">
        <x:f>IF(COUNTIF($A$2:$A$241,A206)&gt;1,"DUPLICATE","")</x:f>
      </x:c>
      <x:c r="R206" t="str">
        <x:f>IF(OR(A206="",B206="",C206="",D206="",E206=""),"MISSING","")</x:f>
      </x:c>
      <x:c r="S206" t="str">
        <x:f>IF(COUNTIF('Product Master'!$A$2:$A$9,D206)=0,"INVALID SKU","")</x:f>
      </x:c>
      <x:c r="T206" s="24" t="n">
        <x:f>N206-M206</x:f>
        <x:v>0</x:v>
      </x:c>
      <x:c r="U206" t="str">
        <x:f>IF(AND(K206&gt;0,O206="Paid"),"REFUND STATUS","")</x:f>
      </x:c>
      <x:c r="V206" t="n">
        <x:f>IF(Q206&lt;&gt;"",1,0)+IF(R206&lt;&gt;"",1,0)+IF(S206&lt;&gt;"",1,0)+IF(ABS(T206)&gt;0.01,1,0)+IF(U206&lt;&gt;"",1,0)</x:f>
        <x:v>0</x:v>
      </x:c>
      <x:c r="W206" t="str">
        <x:f>IF(V206=0,"PASS","REVIEW")</x:f>
        <x:v>PASS</x:v>
      </x:c>
    </x:row>
    <x:row r="207">
      <x:c r="A207" t="str">
        <x:v>ORD-5206</x:v>
      </x:c>
      <x:c r="B207" s="26" t="n">
        <x:v>46136</x:v>
      </x:c>
      <x:c r="C207" t="str">
        <x:v>C-1004</x:v>
      </x:c>
      <x:c r="D207" t="str">
        <x:v>SKU-106</x:v>
      </x:c>
      <x:c r="E207" t="n">
        <x:v>2</x:v>
      </x:c>
      <x:c r="F207" s="24" t="n">
        <x:v>36</x:v>
      </x:c>
      <x:c r="G207" s="24" t="n">
        <x:v>72</x:v>
      </x:c>
      <x:c r="H207" s="24" t="n">
        <x:v>0</x:v>
      </x:c>
      <x:c r="I207" s="24" t="n">
        <x:v>4.32</x:v>
      </x:c>
      <x:c r="J207" s="24" t="n">
        <x:v>0</x:v>
      </x:c>
      <x:c r="K207" s="24" t="n">
        <x:v>0</x:v>
      </x:c>
      <x:c r="L207" s="24" t="n">
        <x:v>2.51</x:v>
      </x:c>
      <x:c r="M207" s="24" t="n">
        <x:v>73.81</x:v>
      </x:c>
      <x:c r="N207" s="24" t="n">
        <x:v>73.81</x:v>
      </x:c>
      <x:c r="O207" t="str">
        <x:v>Paid</x:v>
      </x:c>
      <x:c r="P207" t="str">
        <x:v>Delivered</x:v>
      </x:c>
      <x:c r="Q207" t="str">
        <x:f>IF(COUNTIF($A$2:$A$241,A207)&gt;1,"DUPLICATE","")</x:f>
      </x:c>
      <x:c r="R207" t="str">
        <x:f>IF(OR(A207="",B207="",C207="",D207="",E207=""),"MISSING","")</x:f>
      </x:c>
      <x:c r="S207" t="str">
        <x:f>IF(COUNTIF('Product Master'!$A$2:$A$9,D207)=0,"INVALID SKU","")</x:f>
      </x:c>
      <x:c r="T207" s="24" t="n">
        <x:f>N207-M207</x:f>
        <x:v>0</x:v>
      </x:c>
      <x:c r="U207" t="str">
        <x:f>IF(AND(K207&gt;0,O207="Paid"),"REFUND STATUS","")</x:f>
      </x:c>
      <x:c r="V207" t="n">
        <x:f>IF(Q207&lt;&gt;"",1,0)+IF(R207&lt;&gt;"",1,0)+IF(S207&lt;&gt;"",1,0)+IF(ABS(T207)&gt;0.01,1,0)+IF(U207&lt;&gt;"",1,0)</x:f>
        <x:v>0</x:v>
      </x:c>
      <x:c r="W207" t="str">
        <x:f>IF(V207=0,"PASS","REVIEW")</x:f>
        <x:v>PASS</x:v>
      </x:c>
    </x:row>
    <x:row r="208">
      <x:c r="A208" t="str">
        <x:v>ORD-5207</x:v>
      </x:c>
      <x:c r="B208" s="26" t="n">
        <x:v>46137</x:v>
      </x:c>
      <x:c r="C208" t="str">
        <x:v>C-1005</x:v>
      </x:c>
      <x:c r="D208" t="str">
        <x:v>SKU-107</x:v>
      </x:c>
      <x:c r="E208" t="n">
        <x:v>3</x:v>
      </x:c>
      <x:c r="F208" s="24" t="n">
        <x:v>9</x:v>
      </x:c>
      <x:c r="G208" s="24" t="n">
        <x:v>27</x:v>
      </x:c>
      <x:c r="H208" s="24" t="n">
        <x:v>0</x:v>
      </x:c>
      <x:c r="I208" s="24" t="n">
        <x:v>1.62</x:v>
      </x:c>
      <x:c r="J208" s="24" t="n">
        <x:v>6.95</x:v>
      </x:c>
      <x:c r="K208" s="24" t="n">
        <x:v>0</x:v>
      </x:c>
      <x:c r="L208" s="24" t="n">
        <x:v>1.33</x:v>
      </x:c>
      <x:c r="M208" s="24" t="n">
        <x:v>34.24</x:v>
      </x:c>
      <x:c r="N208" s="24" t="n">
        <x:v>34.24</x:v>
      </x:c>
      <x:c r="O208" t="str">
        <x:v>Paid</x:v>
      </x:c>
      <x:c r="P208" t="str">
        <x:v>Delivered</x:v>
      </x:c>
      <x:c r="Q208" t="str">
        <x:f>IF(COUNTIF($A$2:$A$241,A208)&gt;1,"DUPLICATE","")</x:f>
      </x:c>
      <x:c r="R208" t="str">
        <x:f>IF(OR(A208="",B208="",C208="",D208="",E208=""),"MISSING","")</x:f>
      </x:c>
      <x:c r="S208" t="str">
        <x:f>IF(COUNTIF('Product Master'!$A$2:$A$9,D208)=0,"INVALID SKU","")</x:f>
      </x:c>
      <x:c r="T208" s="24" t="n">
        <x:f>N208-M208</x:f>
        <x:v>0</x:v>
      </x:c>
      <x:c r="U208" t="str">
        <x:f>IF(AND(K208&gt;0,O208="Paid"),"REFUND STATUS","")</x:f>
      </x:c>
      <x:c r="V208" t="n">
        <x:f>IF(Q208&lt;&gt;"",1,0)+IF(R208&lt;&gt;"",1,0)+IF(S208&lt;&gt;"",1,0)+IF(ABS(T208)&gt;0.01,1,0)+IF(U208&lt;&gt;"",1,0)</x:f>
        <x:v>0</x:v>
      </x:c>
      <x:c r="W208" t="str">
        <x:f>IF(V208=0,"PASS","REVIEW")</x:f>
        <x:v>PASS</x:v>
      </x:c>
    </x:row>
    <x:row r="209">
      <x:c r="A209" t="str">
        <x:v>ORD-5208</x:v>
      </x:c>
      <x:c r="B209" s="26" t="n">
        <x:v>46138</x:v>
      </x:c>
      <x:c r="C209" t="str">
        <x:v>C-1006</x:v>
      </x:c>
      <x:c r="D209" t="str">
        <x:v>SKU-108</x:v>
      </x:c>
      <x:c r="E209" t="n">
        <x:v>1</x:v>
      </x:c>
      <x:c r="F209" s="24" t="n">
        <x:v>42</x:v>
      </x:c>
      <x:c r="G209" s="24" t="n">
        <x:v>42</x:v>
      </x:c>
      <x:c r="H209" s="24" t="n">
        <x:v>4.2</x:v>
      </x:c>
      <x:c r="I209" s="24" t="n">
        <x:v>2.27</x:v>
      </x:c>
      <x:c r="J209" s="24" t="n">
        <x:v>6.95</x:v>
      </x:c>
      <x:c r="K209" s="24" t="n">
        <x:v>0</x:v>
      </x:c>
      <x:c r="L209" s="24" t="n">
        <x:v>1.66</x:v>
      </x:c>
      <x:c r="M209" s="24" t="n">
        <x:v>45.36</x:v>
      </x:c>
      <x:c r="N209" s="24" t="n">
        <x:v>45.36</x:v>
      </x:c>
      <x:c r="O209" t="str">
        <x:v>Paid</x:v>
      </x:c>
      <x:c r="P209" t="str">
        <x:v>Delivered</x:v>
      </x:c>
      <x:c r="Q209" t="str">
        <x:f>IF(COUNTIF($A$2:$A$241,A209)&gt;1,"DUPLICATE","")</x:f>
      </x:c>
      <x:c r="R209" t="str">
        <x:f>IF(OR(A209="",B209="",C209="",D209="",E209=""),"MISSING","")</x:f>
      </x:c>
      <x:c r="S209" t="str">
        <x:f>IF(COUNTIF('Product Master'!$A$2:$A$9,D209)=0,"INVALID SKU","")</x:f>
      </x:c>
      <x:c r="T209" s="24" t="n">
        <x:f>N209-M209</x:f>
        <x:v>0</x:v>
      </x:c>
      <x:c r="U209" t="str">
        <x:f>IF(AND(K209&gt;0,O209="Paid"),"REFUND STATUS","")</x:f>
      </x:c>
      <x:c r="V209" t="n">
        <x:f>IF(Q209&lt;&gt;"",1,0)+IF(R209&lt;&gt;"",1,0)+IF(S209&lt;&gt;"",1,0)+IF(ABS(T209)&gt;0.01,1,0)+IF(U209&lt;&gt;"",1,0)</x:f>
        <x:v>0</x:v>
      </x:c>
      <x:c r="W209" t="str">
        <x:f>IF(V209=0,"PASS","REVIEW")</x:f>
        <x:v>PASS</x:v>
      </x:c>
    </x:row>
    <x:row r="210">
      <x:c r="A210" t="str">
        <x:v>ORD-5209</x:v>
      </x:c>
      <x:c r="B210" s="26" t="n">
        <x:v>46139</x:v>
      </x:c>
      <x:c r="C210" t="str">
        <x:v>C-1007</x:v>
      </x:c>
      <x:c r="D210" t="str">
        <x:v>SKU-101</x:v>
      </x:c>
      <x:c r="E210" t="n">
        <x:v>2</x:v>
      </x:c>
      <x:c r="F210" s="24" t="n">
        <x:v>24</x:v>
      </x:c>
      <x:c r="G210" s="24" t="n">
        <x:v>48</x:v>
      </x:c>
      <x:c r="H210" s="24" t="n">
        <x:v>0</x:v>
      </x:c>
      <x:c r="I210" s="24" t="n">
        <x:v>2.88</x:v>
      </x:c>
      <x:c r="J210" s="24" t="n">
        <x:v>6.95</x:v>
      </x:c>
      <x:c r="K210" s="24" t="n">
        <x:v>0</x:v>
      </x:c>
      <x:c r="L210" s="24" t="n">
        <x:v>1.98</x:v>
      </x:c>
      <x:c r="M210" s="24" t="n">
        <x:v>55.85</x:v>
      </x:c>
      <x:c r="N210" s="24" t="n">
        <x:v>55.85</x:v>
      </x:c>
      <x:c r="O210" t="str">
        <x:v>Paid</x:v>
      </x:c>
      <x:c r="P210" t="str">
        <x:v>Delivered</x:v>
      </x:c>
      <x:c r="Q210" t="str">
        <x:f>IF(COUNTIF($A$2:$A$241,A210)&gt;1,"DUPLICATE","")</x:f>
      </x:c>
      <x:c r="R210" t="str">
        <x:f>IF(OR(A210="",B210="",C210="",D210="",E210=""),"MISSING","")</x:f>
      </x:c>
      <x:c r="S210" t="str">
        <x:f>IF(COUNTIF('Product Master'!$A$2:$A$9,D210)=0,"INVALID SKU","")</x:f>
      </x:c>
      <x:c r="T210" s="24" t="n">
        <x:f>N210-M210</x:f>
        <x:v>0</x:v>
      </x:c>
      <x:c r="U210" t="str">
        <x:f>IF(AND(K210&gt;0,O210="Paid"),"REFUND STATUS","")</x:f>
      </x:c>
      <x:c r="V210" t="n">
        <x:f>IF(Q210&lt;&gt;"",1,0)+IF(R210&lt;&gt;"",1,0)+IF(S210&lt;&gt;"",1,0)+IF(ABS(T210)&gt;0.01,1,0)+IF(U210&lt;&gt;"",1,0)</x:f>
        <x:v>0</x:v>
      </x:c>
      <x:c r="W210" t="str">
        <x:f>IF(V210=0,"PASS","REVIEW")</x:f>
        <x:v>PASS</x:v>
      </x:c>
    </x:row>
    <x:row r="211">
      <x:c r="A211" t="str">
        <x:v>ORD-5210</x:v>
      </x:c>
      <x:c r="B211" s="26" t="n">
        <x:v>46140</x:v>
      </x:c>
      <x:c r="C211" t="str">
        <x:v>C-1008</x:v>
      </x:c>
      <x:c r="D211" t="str">
        <x:v>SKU-102</x:v>
      </x:c>
      <x:c r="E211" t="n">
        <x:v>3</x:v>
      </x:c>
      <x:c r="F211" s="24" t="n">
        <x:v>28</x:v>
      </x:c>
      <x:c r="G211" s="24" t="n">
        <x:v>84</x:v>
      </x:c>
      <x:c r="H211" s="24" t="n">
        <x:v>0</x:v>
      </x:c>
      <x:c r="I211" s="24" t="n">
        <x:v>5.04</x:v>
      </x:c>
      <x:c r="J211" s="24" t="n">
        <x:v>0</x:v>
      </x:c>
      <x:c r="K211" s="24" t="n">
        <x:v>0</x:v>
      </x:c>
      <x:c r="L211" s="24" t="n">
        <x:v>2.88</x:v>
      </x:c>
      <x:c r="M211" s="24" t="n">
        <x:v>86.16</x:v>
      </x:c>
      <x:c r="N211" s="24" t="n">
        <x:v>86.16</x:v>
      </x:c>
      <x:c r="O211" t="str">
        <x:v>Paid</x:v>
      </x:c>
      <x:c r="P211" t="str">
        <x:v>Delivered</x:v>
      </x:c>
      <x:c r="Q211" t="str">
        <x:f>IF(COUNTIF($A$2:$A$241,A211)&gt;1,"DUPLICATE","")</x:f>
      </x:c>
      <x:c r="R211" t="str">
        <x:f>IF(OR(A211="",B211="",C211="",D211="",E211=""),"MISSING","")</x:f>
      </x:c>
      <x:c r="S211" t="str">
        <x:f>IF(COUNTIF('Product Master'!$A$2:$A$9,D211)=0,"INVALID SKU","")</x:f>
      </x:c>
      <x:c r="T211" s="24" t="n">
        <x:f>N211-M211</x:f>
        <x:v>0</x:v>
      </x:c>
      <x:c r="U211" t="str">
        <x:f>IF(AND(K211&gt;0,O211="Paid"),"REFUND STATUS","")</x:f>
      </x:c>
      <x:c r="V211" t="n">
        <x:f>IF(Q211&lt;&gt;"",1,0)+IF(R211&lt;&gt;"",1,0)+IF(S211&lt;&gt;"",1,0)+IF(ABS(T211)&gt;0.01,1,0)+IF(U211&lt;&gt;"",1,0)</x:f>
        <x:v>0</x:v>
      </x:c>
      <x:c r="W211" t="str">
        <x:f>IF(V211=0,"PASS","REVIEW")</x:f>
        <x:v>PASS</x:v>
      </x:c>
    </x:row>
    <x:row r="212">
      <x:c r="A212" t="str">
        <x:v>ORD-5211</x:v>
      </x:c>
      <x:c r="B212" s="26" t="n">
        <x:v>46141</x:v>
      </x:c>
      <x:c r="C212" t="str">
        <x:v>C-1009</x:v>
      </x:c>
      <x:c r="D212" t="str">
        <x:v>SKU-103</x:v>
      </x:c>
      <x:c r="E212" t="n">
        <x:v>1</x:v>
      </x:c>
      <x:c r="F212" s="24" t="n">
        <x:v>16</x:v>
      </x:c>
      <x:c r="G212" s="24" t="n">
        <x:v>16</x:v>
      </x:c>
      <x:c r="H212" s="24" t="n">
        <x:v>0</x:v>
      </x:c>
      <x:c r="I212" s="24" t="n">
        <x:v>0.96</x:v>
      </x:c>
      <x:c r="J212" s="24" t="n">
        <x:v>6.95</x:v>
      </x:c>
      <x:c r="K212" s="24" t="n">
        <x:v>0</x:v>
      </x:c>
      <x:c r="L212" s="24" t="n">
        <x:v>0.99</x:v>
      </x:c>
      <x:c r="M212" s="24" t="n">
        <x:v>22.92</x:v>
      </x:c>
      <x:c r="N212" s="24" t="n">
        <x:v>22.92</x:v>
      </x:c>
      <x:c r="O212" t="str">
        <x:v>Paid</x:v>
      </x:c>
      <x:c r="P212" t="str">
        <x:v>Delivered</x:v>
      </x:c>
      <x:c r="Q212" t="str">
        <x:f>IF(COUNTIF($A$2:$A$241,A212)&gt;1,"DUPLICATE","")</x:f>
      </x:c>
      <x:c r="R212" t="str">
        <x:f>IF(OR(A212="",B212="",C212="",D212="",E212=""),"MISSING","")</x:f>
      </x:c>
      <x:c r="S212" t="str">
        <x:f>IF(COUNTIF('Product Master'!$A$2:$A$9,D212)=0,"INVALID SKU","")</x:f>
      </x:c>
      <x:c r="T212" s="24" t="n">
        <x:f>N212-M212</x:f>
        <x:v>0</x:v>
      </x:c>
      <x:c r="U212" t="str">
        <x:f>IF(AND(K212&gt;0,O212="Paid"),"REFUND STATUS","")</x:f>
      </x:c>
      <x:c r="V212" t="n">
        <x:f>IF(Q212&lt;&gt;"",1,0)+IF(R212&lt;&gt;"",1,0)+IF(S212&lt;&gt;"",1,0)+IF(ABS(T212)&gt;0.01,1,0)+IF(U212&lt;&gt;"",1,0)</x:f>
        <x:v>0</x:v>
      </x:c>
      <x:c r="W212" t="str">
        <x:f>IF(V212=0,"PASS","REVIEW")</x:f>
        <x:v>PASS</x:v>
      </x:c>
    </x:row>
    <x:row r="213">
      <x:c r="A213" t="str">
        <x:v>ORD-5212</x:v>
      </x:c>
      <x:c r="B213" s="26" t="n">
        <x:v>46142</x:v>
      </x:c>
      <x:c r="C213" t="str">
        <x:v>C-1010</x:v>
      </x:c>
      <x:c r="D213" t="str">
        <x:v>SKU-104</x:v>
      </x:c>
      <x:c r="E213" t="n">
        <x:v>2</x:v>
      </x:c>
      <x:c r="F213" s="24" t="n">
        <x:v>58</x:v>
      </x:c>
      <x:c r="G213" s="24" t="n">
        <x:v>116</x:v>
      </x:c>
      <x:c r="H213" s="24" t="n">
        <x:v>0</x:v>
      </x:c>
      <x:c r="I213" s="24" t="n">
        <x:v>6.96</x:v>
      </x:c>
      <x:c r="J213" s="24" t="n">
        <x:v>0</x:v>
      </x:c>
      <x:c r="K213" s="24" t="n">
        <x:v>0</x:v>
      </x:c>
      <x:c r="L213" s="24" t="n">
        <x:v>3.87</x:v>
      </x:c>
      <x:c r="M213" s="24" t="n">
        <x:v>119.09</x:v>
      </x:c>
      <x:c r="N213" s="24" t="n">
        <x:v>131.59</x:v>
      </x:c>
      <x:c r="O213" t="str">
        <x:v>Paid</x:v>
      </x:c>
      <x:c r="P213" t="str">
        <x:v>Delivered</x:v>
      </x:c>
      <x:c r="Q213" t="str">
        <x:f>IF(COUNTIF($A$2:$A$241,A213)&gt;1,"DUPLICATE","")</x:f>
      </x:c>
      <x:c r="R213" t="str">
        <x:f>IF(OR(A213="",B213="",C213="",D213="",E213=""),"MISSING","")</x:f>
      </x:c>
      <x:c r="S213" t="str">
        <x:f>IF(COUNTIF('Product Master'!$A$2:$A$9,D213)=0,"INVALID SKU","")</x:f>
      </x:c>
      <x:c r="T213" s="24" t="n">
        <x:f>N213-M213</x:f>
        <x:v>12.5</x:v>
      </x:c>
      <x:c r="U213" t="str">
        <x:f>IF(AND(K213&gt;0,O213="Paid"),"REFUND STATUS","")</x:f>
      </x:c>
      <x:c r="V213" t="n">
        <x:f>IF(Q213&lt;&gt;"",1,0)+IF(R213&lt;&gt;"",1,0)+IF(S213&lt;&gt;"",1,0)+IF(ABS(T213)&gt;0.01,1,0)+IF(U213&lt;&gt;"",1,0)</x:f>
        <x:v>1</x:v>
      </x:c>
      <x:c r="W213" t="str">
        <x:f>IF(V213=0,"PASS","REVIEW")</x:f>
        <x:v>REVIEW</x:v>
      </x:c>
    </x:row>
    <x:row r="214">
      <x:c r="A214" t="str">
        <x:v>ORD-5213</x:v>
      </x:c>
      <x:c r="B214" s="26" t="n">
        <x:v>46143</x:v>
      </x:c>
      <x:c r="C214" t="str">
        <x:v>C-1011</x:v>
      </x:c>
      <x:c r="D214" t="str">
        <x:v>SKU-105</x:v>
      </x:c>
      <x:c r="E214" t="n">
        <x:v>3</x:v>
      </x:c>
      <x:c r="F214" s="24" t="n">
        <x:v>32</x:v>
      </x:c>
      <x:c r="G214" s="24" t="n">
        <x:v>96</x:v>
      </x:c>
      <x:c r="H214" s="24" t="n">
        <x:v>0</x:v>
      </x:c>
      <x:c r="I214" s="24" t="n">
        <x:v>5.76</x:v>
      </x:c>
      <x:c r="J214" s="24" t="n">
        <x:v>0</x:v>
      </x:c>
      <x:c r="K214" s="24" t="n">
        <x:v>0</x:v>
      </x:c>
      <x:c r="L214" s="24" t="n">
        <x:v>3.25</x:v>
      </x:c>
      <x:c r="M214" s="24" t="n">
        <x:v>98.51</x:v>
      </x:c>
      <x:c r="N214" s="24" t="n">
        <x:v>98.51</x:v>
      </x:c>
      <x:c r="O214" t="str">
        <x:v>Paid</x:v>
      </x:c>
      <x:c r="P214" t="str">
        <x:v>Delivered</x:v>
      </x:c>
      <x:c r="Q214" t="str">
        <x:f>IF(COUNTIF($A$2:$A$241,A214)&gt;1,"DUPLICATE","")</x:f>
      </x:c>
      <x:c r="R214" t="str">
        <x:f>IF(OR(A214="",B214="",C214="",D214="",E214=""),"MISSING","")</x:f>
      </x:c>
      <x:c r="S214" t="str">
        <x:f>IF(COUNTIF('Product Master'!$A$2:$A$9,D214)=0,"INVALID SKU","")</x:f>
      </x:c>
      <x:c r="T214" s="24" t="n">
        <x:f>N214-M214</x:f>
        <x:v>0</x:v>
      </x:c>
      <x:c r="U214" t="str">
        <x:f>IF(AND(K214&gt;0,O214="Paid"),"REFUND STATUS","")</x:f>
      </x:c>
      <x:c r="V214" t="n">
        <x:f>IF(Q214&lt;&gt;"",1,0)+IF(R214&lt;&gt;"",1,0)+IF(S214&lt;&gt;"",1,0)+IF(ABS(T214)&gt;0.01,1,0)+IF(U214&lt;&gt;"",1,0)</x:f>
        <x:v>0</x:v>
      </x:c>
      <x:c r="W214" t="str">
        <x:f>IF(V214=0,"PASS","REVIEW")</x:f>
        <x:v>PASS</x:v>
      </x:c>
    </x:row>
    <x:row r="215">
      <x:c r="A215" t="str">
        <x:v>ORD-5214</x:v>
      </x:c>
      <x:c r="B215" s="26" t="n">
        <x:v>46144</x:v>
      </x:c>
      <x:c r="C215" t="str">
        <x:v>C-1012</x:v>
      </x:c>
      <x:c r="D215" t="str">
        <x:v>SKU-106</x:v>
      </x:c>
      <x:c r="E215" t="n">
        <x:v>1</x:v>
      </x:c>
      <x:c r="F215" s="24" t="n">
        <x:v>36</x:v>
      </x:c>
      <x:c r="G215" s="24" t="n">
        <x:v>36</x:v>
      </x:c>
      <x:c r="H215" s="24" t="n">
        <x:v>0</x:v>
      </x:c>
      <x:c r="I215" s="24" t="n">
        <x:v>2.16</x:v>
      </x:c>
      <x:c r="J215" s="24" t="n">
        <x:v>6.95</x:v>
      </x:c>
      <x:c r="K215" s="24" t="n">
        <x:v>0</x:v>
      </x:c>
      <x:c r="L215" s="24" t="n">
        <x:v>1.61</x:v>
      </x:c>
      <x:c r="M215" s="24" t="n">
        <x:v>43.5</x:v>
      </x:c>
      <x:c r="N215" s="24" t="n">
        <x:v>43.5</x:v>
      </x:c>
      <x:c r="O215" t="str">
        <x:v>Paid</x:v>
      </x:c>
      <x:c r="P215" t="str">
        <x:v>Delivered</x:v>
      </x:c>
      <x:c r="Q215" t="str">
        <x:f>IF(COUNTIF($A$2:$A$241,A215)&gt;1,"DUPLICATE","")</x:f>
      </x:c>
      <x:c r="R215" t="str">
        <x:f>IF(OR(A215="",B215="",C215="",D215="",E215=""),"MISSING","")</x:f>
      </x:c>
      <x:c r="S215" t="str">
        <x:f>IF(COUNTIF('Product Master'!$A$2:$A$9,D215)=0,"INVALID SKU","")</x:f>
      </x:c>
      <x:c r="T215" s="24" t="n">
        <x:f>N215-M215</x:f>
        <x:v>0</x:v>
      </x:c>
      <x:c r="U215" t="str">
        <x:f>IF(AND(K215&gt;0,O215="Paid"),"REFUND STATUS","")</x:f>
      </x:c>
      <x:c r="V215" t="n">
        <x:f>IF(Q215&lt;&gt;"",1,0)+IF(R215&lt;&gt;"",1,0)+IF(S215&lt;&gt;"",1,0)+IF(ABS(T215)&gt;0.01,1,0)+IF(U215&lt;&gt;"",1,0)</x:f>
        <x:v>0</x:v>
      </x:c>
      <x:c r="W215" t="str">
        <x:f>IF(V215=0,"PASS","REVIEW")</x:f>
        <x:v>PASS</x:v>
      </x:c>
    </x:row>
    <x:row r="216">
      <x:c r="A216" t="str">
        <x:v>ORD-5215</x:v>
      </x:c>
      <x:c r="B216" s="26" t="n">
        <x:v>46145</x:v>
      </x:c>
      <x:c r="C216" t="str">
        <x:v>C-1013</x:v>
      </x:c>
      <x:c r="D216" t="str">
        <x:v>SKU-107</x:v>
      </x:c>
      <x:c r="E216" t="n">
        <x:v>2</x:v>
      </x:c>
      <x:c r="F216" s="24" t="n">
        <x:v>9</x:v>
      </x:c>
      <x:c r="G216" s="24" t="n">
        <x:v>18</x:v>
      </x:c>
      <x:c r="H216" s="24" t="n">
        <x:v>0</x:v>
      </x:c>
      <x:c r="I216" s="24" t="n">
        <x:v>1.08</x:v>
      </x:c>
      <x:c r="J216" s="24" t="n">
        <x:v>6.95</x:v>
      </x:c>
      <x:c r="K216" s="24" t="n">
        <x:v>0</x:v>
      </x:c>
      <x:c r="L216" s="24" t="n">
        <x:v>1.05</x:v>
      </x:c>
      <x:c r="M216" s="24" t="n">
        <x:v>24.98</x:v>
      </x:c>
      <x:c r="N216" s="24" t="n">
        <x:v>24.98</x:v>
      </x:c>
      <x:c r="O216" t="str">
        <x:v>Paid</x:v>
      </x:c>
      <x:c r="P216" t="str">
        <x:v>Delivered</x:v>
      </x:c>
      <x:c r="Q216" t="str">
        <x:f>IF(COUNTIF($A$2:$A$241,A216)&gt;1,"DUPLICATE","")</x:f>
      </x:c>
      <x:c r="R216" t="str">
        <x:f>IF(OR(A216="",B216="",C216="",D216="",E216=""),"MISSING","")</x:f>
      </x:c>
      <x:c r="S216" t="str">
        <x:f>IF(COUNTIF('Product Master'!$A$2:$A$9,D216)=0,"INVALID SKU","")</x:f>
      </x:c>
      <x:c r="T216" s="24" t="n">
        <x:f>N216-M216</x:f>
        <x:v>0</x:v>
      </x:c>
      <x:c r="U216" t="str">
        <x:f>IF(AND(K216&gt;0,O216="Paid"),"REFUND STATUS","")</x:f>
      </x:c>
      <x:c r="V216" t="n">
        <x:f>IF(Q216&lt;&gt;"",1,0)+IF(R216&lt;&gt;"",1,0)+IF(S216&lt;&gt;"",1,0)+IF(ABS(T216)&gt;0.01,1,0)+IF(U216&lt;&gt;"",1,0)</x:f>
        <x:v>0</x:v>
      </x:c>
      <x:c r="W216" t="str">
        <x:f>IF(V216=0,"PASS","REVIEW")</x:f>
        <x:v>PASS</x:v>
      </x:c>
    </x:row>
    <x:row r="217">
      <x:c r="A217" t="str">
        <x:v>ORD-5216</x:v>
      </x:c>
      <x:c r="B217" s="26" t="n">
        <x:v>46146</x:v>
      </x:c>
      <x:c r="C217" t="str">
        <x:v>C-1014</x:v>
      </x:c>
      <x:c r="D217" t="str">
        <x:v>SKU-108</x:v>
      </x:c>
      <x:c r="E217" t="n">
        <x:v>3</x:v>
      </x:c>
      <x:c r="F217" s="24" t="n">
        <x:v>42</x:v>
      </x:c>
      <x:c r="G217" s="24" t="n">
        <x:v>126</x:v>
      </x:c>
      <x:c r="H217" s="24" t="n">
        <x:v>0</x:v>
      </x:c>
      <x:c r="I217" s="24" t="n">
        <x:v>7.56</x:v>
      </x:c>
      <x:c r="J217" s="24" t="n">
        <x:v>0</x:v>
      </x:c>
      <x:c r="K217" s="24" t="n">
        <x:v>0</x:v>
      </x:c>
      <x:c r="L217" s="24" t="n">
        <x:v>4.17</x:v>
      </x:c>
      <x:c r="M217" s="24" t="n">
        <x:v>129.39</x:v>
      </x:c>
      <x:c r="N217" s="24" t="n">
        <x:v>129.39</x:v>
      </x:c>
      <x:c r="O217" t="str">
        <x:v>Paid</x:v>
      </x:c>
      <x:c r="P217" t="str">
        <x:v>Delivered</x:v>
      </x:c>
      <x:c r="Q217" t="str">
        <x:f>IF(COUNTIF($A$2:$A$241,A217)&gt;1,"DUPLICATE","")</x:f>
      </x:c>
      <x:c r="R217" t="str">
        <x:f>IF(OR(A217="",B217="",C217="",D217="",E217=""),"MISSING","")</x:f>
      </x:c>
      <x:c r="S217" t="str">
        <x:f>IF(COUNTIF('Product Master'!$A$2:$A$9,D217)=0,"INVALID SKU","")</x:f>
      </x:c>
      <x:c r="T217" s="24" t="n">
        <x:f>N217-M217</x:f>
        <x:v>0</x:v>
      </x:c>
      <x:c r="U217" t="str">
        <x:f>IF(AND(K217&gt;0,O217="Paid"),"REFUND STATUS","")</x:f>
      </x:c>
      <x:c r="V217" t="n">
        <x:f>IF(Q217&lt;&gt;"",1,0)+IF(R217&lt;&gt;"",1,0)+IF(S217&lt;&gt;"",1,0)+IF(ABS(T217)&gt;0.01,1,0)+IF(U217&lt;&gt;"",1,0)</x:f>
        <x:v>0</x:v>
      </x:c>
      <x:c r="W217" t="str">
        <x:f>IF(V217=0,"PASS","REVIEW")</x:f>
        <x:v>PASS</x:v>
      </x:c>
    </x:row>
    <x:row r="218">
      <x:c r="A218" t="str">
        <x:v>ORD-5217</x:v>
      </x:c>
      <x:c r="B218" s="26" t="n">
        <x:v>46147</x:v>
      </x:c>
      <x:c r="C218" t="str">
        <x:v>C-1015</x:v>
      </x:c>
      <x:c r="D218" t="str">
        <x:v>SKU-101</x:v>
      </x:c>
      <x:c r="E218" t="n">
        <x:v>1</x:v>
      </x:c>
      <x:c r="F218" s="24" t="n">
        <x:v>24</x:v>
      </x:c>
      <x:c r="G218" s="24" t="n">
        <x:v>24</x:v>
      </x:c>
      <x:c r="H218" s="24" t="n">
        <x:v>2.4</x:v>
      </x:c>
      <x:c r="I218" s="24" t="n">
        <x:v>1.3</x:v>
      </x:c>
      <x:c r="J218" s="24" t="n">
        <x:v>6.95</x:v>
      </x:c>
      <x:c r="K218" s="24" t="n">
        <x:v>0</x:v>
      </x:c>
      <x:c r="L218" s="24" t="n">
        <x:v>1.17</x:v>
      </x:c>
      <x:c r="M218" s="24" t="n">
        <x:v>28.68</x:v>
      </x:c>
      <x:c r="N218" s="24" t="n">
        <x:v>28.68</x:v>
      </x:c>
      <x:c r="O218" t="str">
        <x:v>Paid</x:v>
      </x:c>
      <x:c r="P218" t="str">
        <x:v>Delivered</x:v>
      </x:c>
      <x:c r="Q218" t="str">
        <x:f>IF(COUNTIF($A$2:$A$241,A218)&gt;1,"DUPLICATE","")</x:f>
      </x:c>
      <x:c r="R218" t="str">
        <x:f>IF(OR(A218="",B218="",C218="",D218="",E218=""),"MISSING","")</x:f>
      </x:c>
      <x:c r="S218" t="str">
        <x:f>IF(COUNTIF('Product Master'!$A$2:$A$9,D218)=0,"INVALID SKU","")</x:f>
      </x:c>
      <x:c r="T218" s="24" t="n">
        <x:f>N218-M218</x:f>
        <x:v>0</x:v>
      </x:c>
      <x:c r="U218" t="str">
        <x:f>IF(AND(K218&gt;0,O218="Paid"),"REFUND STATUS","")</x:f>
      </x:c>
      <x:c r="V218" t="n">
        <x:f>IF(Q218&lt;&gt;"",1,0)+IF(R218&lt;&gt;"",1,0)+IF(S218&lt;&gt;"",1,0)+IF(ABS(T218)&gt;0.01,1,0)+IF(U218&lt;&gt;"",1,0)</x:f>
        <x:v>0</x:v>
      </x:c>
      <x:c r="W218" t="str">
        <x:f>IF(V218=0,"PASS","REVIEW")</x:f>
        <x:v>PASS</x:v>
      </x:c>
    </x:row>
    <x:row r="219">
      <x:c r="A219" t="str">
        <x:v>ORD-5218</x:v>
      </x:c>
      <x:c r="B219" s="26" t="n">
        <x:v>46148</x:v>
      </x:c>
      <x:c r="C219" t="str">
        <x:v>C-1016</x:v>
      </x:c>
      <x:c r="D219" t="str">
        <x:v>SKU-102</x:v>
      </x:c>
      <x:c r="E219" t="n">
        <x:v>2</x:v>
      </x:c>
      <x:c r="F219" s="24" t="n">
        <x:v>28</x:v>
      </x:c>
      <x:c r="G219" s="24" t="n">
        <x:v>56</x:v>
      </x:c>
      <x:c r="H219" s="24" t="n">
        <x:v>0</x:v>
      </x:c>
      <x:c r="I219" s="24" t="n">
        <x:v>3.36</x:v>
      </x:c>
      <x:c r="J219" s="24" t="n">
        <x:v>6.95</x:v>
      </x:c>
      <x:c r="K219" s="24" t="n">
        <x:v>0</x:v>
      </x:c>
      <x:c r="L219" s="24" t="n">
        <x:v>2.22</x:v>
      </x:c>
      <x:c r="M219" s="24" t="n">
        <x:v>64.09</x:v>
      </x:c>
      <x:c r="N219" s="24" t="n">
        <x:v>64.09</x:v>
      </x:c>
      <x:c r="O219" t="str">
        <x:v>Paid</x:v>
      </x:c>
      <x:c r="P219" t="str">
        <x:v>Delivered</x:v>
      </x:c>
      <x:c r="Q219" t="str">
        <x:f>IF(COUNTIF($A$2:$A$241,A219)&gt;1,"DUPLICATE","")</x:f>
      </x:c>
      <x:c r="R219" t="str">
        <x:f>IF(OR(A219="",B219="",C219="",D219="",E219=""),"MISSING","")</x:f>
      </x:c>
      <x:c r="S219" t="str">
        <x:f>IF(COUNTIF('Product Master'!$A$2:$A$9,D219)=0,"INVALID SKU","")</x:f>
      </x:c>
      <x:c r="T219" s="24" t="n">
        <x:f>N219-M219</x:f>
        <x:v>0</x:v>
      </x:c>
      <x:c r="U219" t="str">
        <x:f>IF(AND(K219&gt;0,O219="Paid"),"REFUND STATUS","")</x:f>
      </x:c>
      <x:c r="V219" t="n">
        <x:f>IF(Q219&lt;&gt;"",1,0)+IF(R219&lt;&gt;"",1,0)+IF(S219&lt;&gt;"",1,0)+IF(ABS(T219)&gt;0.01,1,0)+IF(U219&lt;&gt;"",1,0)</x:f>
        <x:v>0</x:v>
      </x:c>
      <x:c r="W219" t="str">
        <x:f>IF(V219=0,"PASS","REVIEW")</x:f>
        <x:v>PASS</x:v>
      </x:c>
    </x:row>
    <x:row r="220">
      <x:c r="A220" t="str">
        <x:v>ORD-5219</x:v>
      </x:c>
      <x:c r="B220" s="26" t="n">
        <x:v>46149</x:v>
      </x:c>
      <x:c r="C220" t="str">
        <x:v>C-1017</x:v>
      </x:c>
      <x:c r="D220" t="str">
        <x:v>SKU-103</x:v>
      </x:c>
      <x:c r="E220" t="n">
        <x:v>3</x:v>
      </x:c>
      <x:c r="F220" s="24" t="n">
        <x:v>16</x:v>
      </x:c>
      <x:c r="G220" s="24" t="n">
        <x:v>48</x:v>
      </x:c>
      <x:c r="H220" s="24" t="n">
        <x:v>0</x:v>
      </x:c>
      <x:c r="I220" s="24" t="n">
        <x:v>2.88</x:v>
      </x:c>
      <x:c r="J220" s="24" t="n">
        <x:v>6.95</x:v>
      </x:c>
      <x:c r="K220" s="24" t="n">
        <x:v>0</x:v>
      </x:c>
      <x:c r="L220" s="24" t="n">
        <x:v>1.98</x:v>
      </x:c>
      <x:c r="M220" s="24" t="n">
        <x:v>55.85</x:v>
      </x:c>
      <x:c r="N220" s="24" t="n">
        <x:v>55.85</x:v>
      </x:c>
      <x:c r="O220" t="str">
        <x:v>Paid</x:v>
      </x:c>
      <x:c r="P220" t="str">
        <x:v>Delivered</x:v>
      </x:c>
      <x:c r="Q220" t="str">
        <x:f>IF(COUNTIF($A$2:$A$241,A220)&gt;1,"DUPLICATE","")</x:f>
      </x:c>
      <x:c r="R220" t="str">
        <x:f>IF(OR(A220="",B220="",C220="",D220="",E220=""),"MISSING","")</x:f>
      </x:c>
      <x:c r="S220" t="str">
        <x:f>IF(COUNTIF('Product Master'!$A$2:$A$9,D220)=0,"INVALID SKU","")</x:f>
      </x:c>
      <x:c r="T220" s="24" t="n">
        <x:f>N220-M220</x:f>
        <x:v>0</x:v>
      </x:c>
      <x:c r="U220" t="str">
        <x:f>IF(AND(K220&gt;0,O220="Paid"),"REFUND STATUS","")</x:f>
      </x:c>
      <x:c r="V220" t="n">
        <x:f>IF(Q220&lt;&gt;"",1,0)+IF(R220&lt;&gt;"",1,0)+IF(S220&lt;&gt;"",1,0)+IF(ABS(T220)&gt;0.01,1,0)+IF(U220&lt;&gt;"",1,0)</x:f>
        <x:v>0</x:v>
      </x:c>
      <x:c r="W220" t="str">
        <x:f>IF(V220=0,"PASS","REVIEW")</x:f>
        <x:v>PASS</x:v>
      </x:c>
    </x:row>
    <x:row r="221">
      <x:c r="A221" t="str">
        <x:v>ORD-5220</x:v>
      </x:c>
      <x:c r="B221" s="26" t="n">
        <x:v>46150</x:v>
      </x:c>
      <x:c r="C221" t="str">
        <x:v>C-1018</x:v>
      </x:c>
      <x:c r="D221" t="str">
        <x:v>SKU-104</x:v>
      </x:c>
      <x:c r="E221" t="n">
        <x:v>1</x:v>
      </x:c>
      <x:c r="F221" s="24" t="n">
        <x:v>58</x:v>
      </x:c>
      <x:c r="G221" s="24" t="n">
        <x:v>58</x:v>
      </x:c>
      <x:c r="H221" s="24" t="n">
        <x:v>0</x:v>
      </x:c>
      <x:c r="I221" s="24" t="n">
        <x:v>3.48</x:v>
      </x:c>
      <x:c r="J221" s="24" t="n">
        <x:v>6.95</x:v>
      </x:c>
      <x:c r="K221" s="24" t="n">
        <x:v>0</x:v>
      </x:c>
      <x:c r="L221" s="24" t="n">
        <x:v>2.28</x:v>
      </x:c>
      <x:c r="M221" s="24" t="n">
        <x:v>66.15</x:v>
      </x:c>
      <x:c r="N221" s="24" t="n">
        <x:v>66.15</x:v>
      </x:c>
      <x:c r="O221" t="str">
        <x:v>Paid</x:v>
      </x:c>
      <x:c r="P221" t="str">
        <x:v>Delivered</x:v>
      </x:c>
      <x:c r="Q221" t="str">
        <x:f>IF(COUNTIF($A$2:$A$241,A221)&gt;1,"DUPLICATE","")</x:f>
      </x:c>
      <x:c r="R221" t="str">
        <x:f>IF(OR(A221="",B221="",C221="",D221="",E221=""),"MISSING","")</x:f>
      </x:c>
      <x:c r="S221" t="str">
        <x:f>IF(COUNTIF('Product Master'!$A$2:$A$9,D221)=0,"INVALID SKU","")</x:f>
      </x:c>
      <x:c r="T221" s="24" t="n">
        <x:f>N221-M221</x:f>
        <x:v>0</x:v>
      </x:c>
      <x:c r="U221" t="str">
        <x:f>IF(AND(K221&gt;0,O221="Paid"),"REFUND STATUS","")</x:f>
      </x:c>
      <x:c r="V221" t="n">
        <x:f>IF(Q221&lt;&gt;"",1,0)+IF(R221&lt;&gt;"",1,0)+IF(S221&lt;&gt;"",1,0)+IF(ABS(T221)&gt;0.01,1,0)+IF(U221&lt;&gt;"",1,0)</x:f>
        <x:v>0</x:v>
      </x:c>
      <x:c r="W221" t="str">
        <x:f>IF(V221=0,"PASS","REVIEW")</x:f>
        <x:v>PASS</x:v>
      </x:c>
    </x:row>
    <x:row r="222">
      <x:c r="A222" t="str">
        <x:v>ORD-5221</x:v>
      </x:c>
      <x:c r="B222" s="26" t="n">
        <x:v>46151</x:v>
      </x:c>
      <x:c r="C222" t="str">
        <x:v>C-1019</x:v>
      </x:c>
      <x:c r="D222" t="str">
        <x:v>SKU-105</x:v>
      </x:c>
      <x:c r="E222" t="n">
        <x:v>2</x:v>
      </x:c>
      <x:c r="F222" s="24" t="n">
        <x:v>32</x:v>
      </x:c>
      <x:c r="G222" s="24" t="n">
        <x:v>64</x:v>
      </x:c>
      <x:c r="H222" s="24" t="n">
        <x:v>0</x:v>
      </x:c>
      <x:c r="I222" s="24" t="n">
        <x:v>3.84</x:v>
      </x:c>
      <x:c r="J222" s="24" t="n">
        <x:v>0</x:v>
      </x:c>
      <x:c r="K222" s="24" t="n">
        <x:v>0</x:v>
      </x:c>
      <x:c r="L222" s="24" t="n">
        <x:v>2.27</x:v>
      </x:c>
      <x:c r="M222" s="24" t="n">
        <x:v>65.57</x:v>
      </x:c>
      <x:c r="N222" s="24" t="n">
        <x:v>65.57</x:v>
      </x:c>
      <x:c r="O222" t="str">
        <x:v>Paid</x:v>
      </x:c>
      <x:c r="P222" t="str">
        <x:v>In Transit</x:v>
      </x:c>
      <x:c r="Q222" t="str">
        <x:f>IF(COUNTIF($A$2:$A$241,A222)&gt;1,"DUPLICATE","")</x:f>
      </x:c>
      <x:c r="R222" t="str">
        <x:f>IF(OR(A222="",B222="",C222="",D222="",E222=""),"MISSING","")</x:f>
      </x:c>
      <x:c r="S222" t="str">
        <x:f>IF(COUNTIF('Product Master'!$A$2:$A$9,D222)=0,"INVALID SKU","")</x:f>
      </x:c>
      <x:c r="T222" s="24" t="n">
        <x:f>N222-M222</x:f>
        <x:v>0</x:v>
      </x:c>
      <x:c r="U222" t="str">
        <x:f>IF(AND(K222&gt;0,O222="Paid"),"REFUND STATUS","")</x:f>
      </x:c>
      <x:c r="V222" t="n">
        <x:f>IF(Q222&lt;&gt;"",1,0)+IF(R222&lt;&gt;"",1,0)+IF(S222&lt;&gt;"",1,0)+IF(ABS(T222)&gt;0.01,1,0)+IF(U222&lt;&gt;"",1,0)</x:f>
        <x:v>0</x:v>
      </x:c>
      <x:c r="W222" t="str">
        <x:f>IF(V222=0,"PASS","REVIEW")</x:f>
        <x:v>PASS</x:v>
      </x:c>
    </x:row>
    <x:row r="223">
      <x:c r="A223" t="str">
        <x:v>ORD-5222</x:v>
      </x:c>
      <x:c r="B223" s="26" t="n">
        <x:v>46152</x:v>
      </x:c>
      <x:c r="C223" t="str">
        <x:v>C-1020</x:v>
      </x:c>
      <x:c r="D223" t="str">
        <x:v>SKU-106</x:v>
      </x:c>
      <x:c r="E223" t="n">
        <x:v>3</x:v>
      </x:c>
      <x:c r="F223" s="24" t="n">
        <x:v>36</x:v>
      </x:c>
      <x:c r="G223" s="24" t="n">
        <x:v>108</x:v>
      </x:c>
      <x:c r="H223" s="24" t="n">
        <x:v>0</x:v>
      </x:c>
      <x:c r="I223" s="24" t="n">
        <x:v>6.48</x:v>
      </x:c>
      <x:c r="J223" s="24" t="n">
        <x:v>0</x:v>
      </x:c>
      <x:c r="K223" s="24" t="n">
        <x:v>0</x:v>
      </x:c>
      <x:c r="L223" s="24" t="n">
        <x:v>3.62</x:v>
      </x:c>
      <x:c r="M223" s="24" t="n">
        <x:v>110.86</x:v>
      </x:c>
      <x:c r="N223" s="24" t="n">
        <x:v>110.86</x:v>
      </x:c>
      <x:c r="O223" t="str">
        <x:v>Paid</x:v>
      </x:c>
      <x:c r="P223" t="str">
        <x:v>In Transit</x:v>
      </x:c>
      <x:c r="Q223" t="str">
        <x:f>IF(COUNTIF($A$2:$A$241,A223)&gt;1,"DUPLICATE","")</x:f>
      </x:c>
      <x:c r="R223" t="str">
        <x:f>IF(OR(A223="",B223="",C223="",D223="",E223=""),"MISSING","")</x:f>
      </x:c>
      <x:c r="S223" t="str">
        <x:f>IF(COUNTIF('Product Master'!$A$2:$A$9,D223)=0,"INVALID SKU","")</x:f>
      </x:c>
      <x:c r="T223" s="24" t="n">
        <x:f>N223-M223</x:f>
        <x:v>0</x:v>
      </x:c>
      <x:c r="U223" t="str">
        <x:f>IF(AND(K223&gt;0,O223="Paid"),"REFUND STATUS","")</x:f>
      </x:c>
      <x:c r="V223" t="n">
        <x:f>IF(Q223&lt;&gt;"",1,0)+IF(R223&lt;&gt;"",1,0)+IF(S223&lt;&gt;"",1,0)+IF(ABS(T223)&gt;0.01,1,0)+IF(U223&lt;&gt;"",1,0)</x:f>
        <x:v>0</x:v>
      </x:c>
      <x:c r="W223" t="str">
        <x:f>IF(V223=0,"PASS","REVIEW")</x:f>
        <x:v>PASS</x:v>
      </x:c>
    </x:row>
    <x:row r="224">
      <x:c r="A224" t="str">
        <x:v>ORD-5223</x:v>
      </x:c>
      <x:c r="B224" s="26" t="n">
        <x:v>46153</x:v>
      </x:c>
      <x:c r="C224" t="str">
        <x:v>C-1021</x:v>
      </x:c>
      <x:c r="D224" t="str">
        <x:v>SKU-107</x:v>
      </x:c>
      <x:c r="E224" t="n">
        <x:v>1</x:v>
      </x:c>
      <x:c r="F224" s="24" t="n">
        <x:v>9</x:v>
      </x:c>
      <x:c r="G224" s="24" t="n">
        <x:v>9</x:v>
      </x:c>
      <x:c r="H224" s="24" t="n">
        <x:v>0</x:v>
      </x:c>
      <x:c r="I224" s="24" t="n">
        <x:v>0.54</x:v>
      </x:c>
      <x:c r="J224" s="24" t="n">
        <x:v>6.95</x:v>
      </x:c>
      <x:c r="K224" s="24" t="n">
        <x:v>0</x:v>
      </x:c>
      <x:c r="L224" s="24" t="n">
        <x:v>0.78</x:v>
      </x:c>
      <x:c r="M224" s="24" t="n">
        <x:v>15.71</x:v>
      </x:c>
      <x:c r="N224" s="24" t="n">
        <x:v>15.71</x:v>
      </x:c>
      <x:c r="O224" t="str">
        <x:v>Paid</x:v>
      </x:c>
      <x:c r="P224" t="str">
        <x:v>In Transit</x:v>
      </x:c>
      <x:c r="Q224" t="str">
        <x:f>IF(COUNTIF($A$2:$A$241,A224)&gt;1,"DUPLICATE","")</x:f>
      </x:c>
      <x:c r="R224" t="str">
        <x:f>IF(OR(A224="",B224="",C224="",D224="",E224=""),"MISSING","")</x:f>
      </x:c>
      <x:c r="S224" t="str">
        <x:f>IF(COUNTIF('Product Master'!$A$2:$A$9,D224)=0,"INVALID SKU","")</x:f>
      </x:c>
      <x:c r="T224" s="24" t="n">
        <x:f>N224-M224</x:f>
        <x:v>0</x:v>
      </x:c>
      <x:c r="U224" t="str">
        <x:f>IF(AND(K224&gt;0,O224="Paid"),"REFUND STATUS","")</x:f>
      </x:c>
      <x:c r="V224" t="n">
        <x:f>IF(Q224&lt;&gt;"",1,0)+IF(R224&lt;&gt;"",1,0)+IF(S224&lt;&gt;"",1,0)+IF(ABS(T224)&gt;0.01,1,0)+IF(U224&lt;&gt;"",1,0)</x:f>
        <x:v>0</x:v>
      </x:c>
      <x:c r="W224" t="str">
        <x:f>IF(V224=0,"PASS","REVIEW")</x:f>
        <x:v>PASS</x:v>
      </x:c>
    </x:row>
    <x:row r="225">
      <x:c r="A225" t="str">
        <x:v>ORD-5224</x:v>
      </x:c>
      <x:c r="B225" s="26" t="n">
        <x:v>46154</x:v>
      </x:c>
      <x:c r="C225" t="str">
        <x:v>C-1022</x:v>
      </x:c>
      <x:c r="D225" t="str">
        <x:v>SKU-108</x:v>
      </x:c>
      <x:c r="E225" t="n">
        <x:v>2</x:v>
      </x:c>
      <x:c r="F225" s="24" t="n">
        <x:v>42</x:v>
      </x:c>
      <x:c r="G225" s="24" t="n">
        <x:v>84</x:v>
      </x:c>
      <x:c r="H225" s="24" t="n">
        <x:v>0</x:v>
      </x:c>
      <x:c r="I225" s="24" t="n">
        <x:v>5.04</x:v>
      </x:c>
      <x:c r="J225" s="24" t="n">
        <x:v>0</x:v>
      </x:c>
      <x:c r="K225" s="24" t="n">
        <x:v>0</x:v>
      </x:c>
      <x:c r="L225" s="24" t="n">
        <x:v>2.88</x:v>
      </x:c>
      <x:c r="M225" s="24" t="n">
        <x:v>86.16</x:v>
      </x:c>
      <x:c r="N225" s="24" t="n">
        <x:v>86.16</x:v>
      </x:c>
      <x:c r="O225" t="str">
        <x:v>Paid</x:v>
      </x:c>
      <x:c r="P225" t="str">
        <x:v>In Transit</x:v>
      </x:c>
      <x:c r="Q225" t="str">
        <x:f>IF(COUNTIF($A$2:$A$241,A225)&gt;1,"DUPLICATE","")</x:f>
      </x:c>
      <x:c r="R225" t="str">
        <x:f>IF(OR(A225="",B225="",C225="",D225="",E225=""),"MISSING","")</x:f>
      </x:c>
      <x:c r="S225" t="str">
        <x:f>IF(COUNTIF('Product Master'!$A$2:$A$9,D225)=0,"INVALID SKU","")</x:f>
      </x:c>
      <x:c r="T225" s="24" t="n">
        <x:f>N225-M225</x:f>
        <x:v>0</x:v>
      </x:c>
      <x:c r="U225" t="str">
        <x:f>IF(AND(K225&gt;0,O225="Paid"),"REFUND STATUS","")</x:f>
      </x:c>
      <x:c r="V225" t="n">
        <x:f>IF(Q225&lt;&gt;"",1,0)+IF(R225&lt;&gt;"",1,0)+IF(S225&lt;&gt;"",1,0)+IF(ABS(T225)&gt;0.01,1,0)+IF(U225&lt;&gt;"",1,0)</x:f>
        <x:v>0</x:v>
      </x:c>
      <x:c r="W225" t="str">
        <x:f>IF(V225=0,"PASS","REVIEW")</x:f>
        <x:v>PASS</x:v>
      </x:c>
    </x:row>
    <x:row r="226">
      <x:c r="A226" t="str">
        <x:v>ORD-5225</x:v>
      </x:c>
      <x:c r="B226" s="26" t="n">
        <x:v>46155</x:v>
      </x:c>
      <x:c r="C226" t="str">
        <x:v>C-1023</x:v>
      </x:c>
      <x:c r="D226" t="str">
        <x:v>SKU-101</x:v>
      </x:c>
      <x:c r="E226" t="n">
        <x:v>3</x:v>
      </x:c>
      <x:c r="F226" s="24" t="n">
        <x:v>24</x:v>
      </x:c>
      <x:c r="G226" s="24" t="n">
        <x:v>72</x:v>
      </x:c>
      <x:c r="H226" s="24" t="n">
        <x:v>0</x:v>
      </x:c>
      <x:c r="I226" s="24" t="n">
        <x:v>4.32</x:v>
      </x:c>
      <x:c r="J226" s="24" t="n">
        <x:v>0</x:v>
      </x:c>
      <x:c r="K226" s="24" t="n">
        <x:v>0</x:v>
      </x:c>
      <x:c r="L226" s="24" t="n">
        <x:v>2.51</x:v>
      </x:c>
      <x:c r="M226" s="24" t="n">
        <x:v>73.81</x:v>
      </x:c>
      <x:c r="N226" s="24" t="n">
        <x:v>73.81</x:v>
      </x:c>
      <x:c r="O226" t="str">
        <x:v>Paid</x:v>
      </x:c>
      <x:c r="P226" t="str">
        <x:v>In Transit</x:v>
      </x:c>
      <x:c r="Q226" t="str">
        <x:f>IF(COUNTIF($A$2:$A$241,A226)&gt;1,"DUPLICATE","")</x:f>
      </x:c>
      <x:c r="R226" t="str">
        <x:f>IF(OR(A226="",B226="",C226="",D226="",E226=""),"MISSING","")</x:f>
      </x:c>
      <x:c r="S226" t="str">
        <x:f>IF(COUNTIF('Product Master'!$A$2:$A$9,D226)=0,"INVALID SKU","")</x:f>
      </x:c>
      <x:c r="T226" s="24" t="n">
        <x:f>N226-M226</x:f>
        <x:v>0</x:v>
      </x:c>
      <x:c r="U226" t="str">
        <x:f>IF(AND(K226&gt;0,O226="Paid"),"REFUND STATUS","")</x:f>
      </x:c>
      <x:c r="V226" t="n">
        <x:f>IF(Q226&lt;&gt;"",1,0)+IF(R226&lt;&gt;"",1,0)+IF(S226&lt;&gt;"",1,0)+IF(ABS(T226)&gt;0.01,1,0)+IF(U226&lt;&gt;"",1,0)</x:f>
        <x:v>0</x:v>
      </x:c>
      <x:c r="W226" t="str">
        <x:f>IF(V226=0,"PASS","REVIEW")</x:f>
        <x:v>PASS</x:v>
      </x:c>
    </x:row>
    <x:row r="227">
      <x:c r="A227" t="str">
        <x:v>ORD-5226</x:v>
      </x:c>
      <x:c r="B227" s="26" t="n">
        <x:v>46156</x:v>
      </x:c>
      <x:c r="C227" t="str">
        <x:v>C-1024</x:v>
      </x:c>
      <x:c r="D227" t="str">
        <x:v>SKU-102</x:v>
      </x:c>
      <x:c r="E227" t="n">
        <x:v>1</x:v>
      </x:c>
      <x:c r="F227" s="24" t="n">
        <x:v>28</x:v>
      </x:c>
      <x:c r="G227" s="24" t="n">
        <x:v>28</x:v>
      </x:c>
      <x:c r="H227" s="24" t="n">
        <x:v>2.8</x:v>
      </x:c>
      <x:c r="I227" s="24" t="n">
        <x:v>1.51</x:v>
      </x:c>
      <x:c r="J227" s="24" t="n">
        <x:v>6.95</x:v>
      </x:c>
      <x:c r="K227" s="24" t="n">
        <x:v>0</x:v>
      </x:c>
      <x:c r="L227" s="24" t="n">
        <x:v>1.28</x:v>
      </x:c>
      <x:c r="M227" s="24" t="n">
        <x:v>32.38</x:v>
      </x:c>
      <x:c r="N227" s="24" t="n">
        <x:v>32.38</x:v>
      </x:c>
      <x:c r="O227" t="str">
        <x:v>Paid</x:v>
      </x:c>
      <x:c r="P227" t="str">
        <x:v>In Transit</x:v>
      </x:c>
      <x:c r="Q227" t="str">
        <x:f>IF(COUNTIF($A$2:$A$241,A227)&gt;1,"DUPLICATE","")</x:f>
      </x:c>
      <x:c r="R227" t="str">
        <x:f>IF(OR(A227="",B227="",C227="",D227="",E227=""),"MISSING","")</x:f>
      </x:c>
      <x:c r="S227" t="str">
        <x:f>IF(COUNTIF('Product Master'!$A$2:$A$9,D227)=0,"INVALID SKU","")</x:f>
      </x:c>
      <x:c r="T227" s="24" t="n">
        <x:f>N227-M227</x:f>
        <x:v>0</x:v>
      </x:c>
      <x:c r="U227" t="str">
        <x:f>IF(AND(K227&gt;0,O227="Paid"),"REFUND STATUS","")</x:f>
      </x:c>
      <x:c r="V227" t="n">
        <x:f>IF(Q227&lt;&gt;"",1,0)+IF(R227&lt;&gt;"",1,0)+IF(S227&lt;&gt;"",1,0)+IF(ABS(T227)&gt;0.01,1,0)+IF(U227&lt;&gt;"",1,0)</x:f>
        <x:v>0</x:v>
      </x:c>
      <x:c r="W227" t="str">
        <x:f>IF(V227=0,"PASS","REVIEW")</x:f>
        <x:v>PASS</x:v>
      </x:c>
    </x:row>
    <x:row r="228">
      <x:c r="A228" t="str">
        <x:v>ORD-5227</x:v>
      </x:c>
      <x:c r="B228" s="26" t="n">
        <x:v>46157</x:v>
      </x:c>
      <x:c r="C228" t="str">
        <x:v>C-1025</x:v>
      </x:c>
      <x:c r="D228" t="str">
        <x:v>SKU-103</x:v>
      </x:c>
      <x:c r="E228" t="n">
        <x:v>2</x:v>
      </x:c>
      <x:c r="F228" s="24" t="n">
        <x:v>16</x:v>
      </x:c>
      <x:c r="G228" s="24" t="n">
        <x:v>32</x:v>
      </x:c>
      <x:c r="H228" s="24" t="n">
        <x:v>0</x:v>
      </x:c>
      <x:c r="I228" s="24" t="n">
        <x:v>1.92</x:v>
      </x:c>
      <x:c r="J228" s="24" t="n">
        <x:v>6.95</x:v>
      </x:c>
      <x:c r="K228" s="24" t="n">
        <x:v>0</x:v>
      </x:c>
      <x:c r="L228" s="24" t="n">
        <x:v>1.49</x:v>
      </x:c>
      <x:c r="M228" s="24" t="n">
        <x:v>39.38</x:v>
      </x:c>
      <x:c r="N228" s="24" t="n">
        <x:v>39.38</x:v>
      </x:c>
      <x:c r="O228" t="str">
        <x:v>Paid</x:v>
      </x:c>
      <x:c r="P228" t="str">
        <x:v>In Transit</x:v>
      </x:c>
      <x:c r="Q228" t="str">
        <x:f>IF(COUNTIF($A$2:$A$241,A228)&gt;1,"DUPLICATE","")</x:f>
      </x:c>
      <x:c r="R228" t="str">
        <x:f>IF(OR(A228="",B228="",C228="",D228="",E228=""),"MISSING","")</x:f>
      </x:c>
      <x:c r="S228" t="str">
        <x:f>IF(COUNTIF('Product Master'!$A$2:$A$9,D228)=0,"INVALID SKU","")</x:f>
      </x:c>
      <x:c r="T228" s="24" t="n">
        <x:f>N228-M228</x:f>
        <x:v>0</x:v>
      </x:c>
      <x:c r="U228" t="str">
        <x:f>IF(AND(K228&gt;0,O228="Paid"),"REFUND STATUS","")</x:f>
      </x:c>
      <x:c r="V228" t="n">
        <x:f>IF(Q228&lt;&gt;"",1,0)+IF(R228&lt;&gt;"",1,0)+IF(S228&lt;&gt;"",1,0)+IF(ABS(T228)&gt;0.01,1,0)+IF(U228&lt;&gt;"",1,0)</x:f>
        <x:v>0</x:v>
      </x:c>
      <x:c r="W228" t="str">
        <x:f>IF(V228=0,"PASS","REVIEW")</x:f>
        <x:v>PASS</x:v>
      </x:c>
    </x:row>
    <x:row r="229">
      <x:c r="A229" t="str">
        <x:v>ORD-5228</x:v>
      </x:c>
      <x:c r="B229" s="26" t="n">
        <x:v>46158</x:v>
      </x:c>
      <x:c r="C229" t="str">
        <x:v>C-1026</x:v>
      </x:c>
      <x:c r="D229" t="str">
        <x:v>SKU-104</x:v>
      </x:c>
      <x:c r="E229" t="n">
        <x:v>3</x:v>
      </x:c>
      <x:c r="F229" s="24" t="n">
        <x:v>58</x:v>
      </x:c>
      <x:c r="G229" s="24" t="n">
        <x:v>174</x:v>
      </x:c>
      <x:c r="H229" s="24" t="n">
        <x:v>0</x:v>
      </x:c>
      <x:c r="I229" s="24" t="n">
        <x:v>10.44</x:v>
      </x:c>
      <x:c r="J229" s="24" t="n">
        <x:v>0</x:v>
      </x:c>
      <x:c r="K229" s="24" t="n">
        <x:v>0</x:v>
      </x:c>
      <x:c r="L229" s="24" t="n">
        <x:v>5.65</x:v>
      </x:c>
      <x:c r="M229" s="24" t="n">
        <x:v>178.79</x:v>
      </x:c>
      <x:c r="N229" s="24" t="n">
        <x:v>178.79</x:v>
      </x:c>
      <x:c r="O229" t="str">
        <x:v>Paid</x:v>
      </x:c>
      <x:c r="P229" t="str">
        <x:v>In Transit</x:v>
      </x:c>
      <x:c r="Q229" t="str">
        <x:f>IF(COUNTIF($A$2:$A$241,A229)&gt;1,"DUPLICATE","")</x:f>
      </x:c>
      <x:c r="R229" t="str">
        <x:f>IF(OR(A229="",B229="",C229="",D229="",E229=""),"MISSING","")</x:f>
      </x:c>
      <x:c r="S229" t="str">
        <x:f>IF(COUNTIF('Product Master'!$A$2:$A$9,D229)=0,"INVALID SKU","")</x:f>
      </x:c>
      <x:c r="T229" s="24" t="n">
        <x:f>N229-M229</x:f>
        <x:v>0</x:v>
      </x:c>
      <x:c r="U229" t="str">
        <x:f>IF(AND(K229&gt;0,O229="Paid"),"REFUND STATUS","")</x:f>
      </x:c>
      <x:c r="V229" t="n">
        <x:f>IF(Q229&lt;&gt;"",1,0)+IF(R229&lt;&gt;"",1,0)+IF(S229&lt;&gt;"",1,0)+IF(ABS(T229)&gt;0.01,1,0)+IF(U229&lt;&gt;"",1,0)</x:f>
        <x:v>0</x:v>
      </x:c>
      <x:c r="W229" t="str">
        <x:f>IF(V229=0,"PASS","REVIEW")</x:f>
        <x:v>PASS</x:v>
      </x:c>
    </x:row>
    <x:row r="230">
      <x:c r="A230" t="str">
        <x:v>ORD-5229</x:v>
      </x:c>
      <x:c r="B230" s="26" t="n">
        <x:v>46159</x:v>
      </x:c>
      <x:c r="C230" t="str">
        <x:v>C-1027</x:v>
      </x:c>
      <x:c r="D230" t="str">
        <x:v>SKU-105</x:v>
      </x:c>
      <x:c r="E230" t="n">
        <x:v>1</x:v>
      </x:c>
      <x:c r="F230" s="24" t="n">
        <x:v>32</x:v>
      </x:c>
      <x:c r="G230" s="24" t="n">
        <x:v>32</x:v>
      </x:c>
      <x:c r="H230" s="24" t="n">
        <x:v>0</x:v>
      </x:c>
      <x:c r="I230" s="24" t="n">
        <x:v>1.92</x:v>
      </x:c>
      <x:c r="J230" s="24" t="n">
        <x:v>6.95</x:v>
      </x:c>
      <x:c r="K230" s="24" t="n">
        <x:v>0</x:v>
      </x:c>
      <x:c r="L230" s="24" t="n">
        <x:v>1.49</x:v>
      </x:c>
      <x:c r="M230" s="24" t="n">
        <x:v>39.38</x:v>
      </x:c>
      <x:c r="N230" s="24" t="n">
        <x:v>39.38</x:v>
      </x:c>
      <x:c r="O230" t="str">
        <x:v>Paid</x:v>
      </x:c>
      <x:c r="P230" t="str">
        <x:v>In Transit</x:v>
      </x:c>
      <x:c r="Q230" t="str">
        <x:f>IF(COUNTIF($A$2:$A$241,A230)&gt;1,"DUPLICATE","")</x:f>
      </x:c>
      <x:c r="R230" t="str">
        <x:f>IF(OR(A230="",B230="",C230="",D230="",E230=""),"MISSING","")</x:f>
      </x:c>
      <x:c r="S230" t="str">
        <x:f>IF(COUNTIF('Product Master'!$A$2:$A$9,D230)=0,"INVALID SKU","")</x:f>
      </x:c>
      <x:c r="T230" s="24" t="n">
        <x:f>N230-M230</x:f>
        <x:v>0</x:v>
      </x:c>
      <x:c r="U230" t="str">
        <x:f>IF(AND(K230&gt;0,O230="Paid"),"REFUND STATUS","")</x:f>
      </x:c>
      <x:c r="V230" t="n">
        <x:f>IF(Q230&lt;&gt;"",1,0)+IF(R230&lt;&gt;"",1,0)+IF(S230&lt;&gt;"",1,0)+IF(ABS(T230)&gt;0.01,1,0)+IF(U230&lt;&gt;"",1,0)</x:f>
        <x:v>0</x:v>
      </x:c>
      <x:c r="W230" t="str">
        <x:f>IF(V230=0,"PASS","REVIEW")</x:f>
        <x:v>PASS</x:v>
      </x:c>
    </x:row>
    <x:row r="231">
      <x:c r="A231" t="str">
        <x:v>ORD-5230</x:v>
      </x:c>
      <x:c r="B231" s="26" t="n">
        <x:v>46160</x:v>
      </x:c>
      <x:c r="C231" t="str">
        <x:v>C-1028</x:v>
      </x:c>
      <x:c r="D231" t="str">
        <x:v>SKU-106</x:v>
      </x:c>
      <x:c r="E231" t="n">
        <x:v>2</x:v>
      </x:c>
      <x:c r="F231" s="24" t="n">
        <x:v>36</x:v>
      </x:c>
      <x:c r="G231" s="24" t="n">
        <x:v>72</x:v>
      </x:c>
      <x:c r="H231" s="24" t="n">
        <x:v>0</x:v>
      </x:c>
      <x:c r="I231" s="24" t="n">
        <x:v>4.32</x:v>
      </x:c>
      <x:c r="J231" s="24" t="n">
        <x:v>0</x:v>
      </x:c>
      <x:c r="K231" s="24" t="n">
        <x:v>0</x:v>
      </x:c>
      <x:c r="L231" s="24" t="n">
        <x:v>2.51</x:v>
      </x:c>
      <x:c r="M231" s="24" t="n">
        <x:v>73.81</x:v>
      </x:c>
      <x:c r="N231" s="24" t="n">
        <x:v>73.81</x:v>
      </x:c>
      <x:c r="O231" t="str">
        <x:v>Paid</x:v>
      </x:c>
      <x:c r="P231" t="str">
        <x:v>In Transit</x:v>
      </x:c>
      <x:c r="Q231" t="str">
        <x:f>IF(COUNTIF($A$2:$A$241,A231)&gt;1,"DUPLICATE","")</x:f>
      </x:c>
      <x:c r="R231" t="str">
        <x:f>IF(OR(A231="",B231="",C231="",D231="",E231=""),"MISSING","")</x:f>
      </x:c>
      <x:c r="S231" t="str">
        <x:f>IF(COUNTIF('Product Master'!$A$2:$A$9,D231)=0,"INVALID SKU","")</x:f>
      </x:c>
      <x:c r="T231" s="24" t="n">
        <x:f>N231-M231</x:f>
        <x:v>0</x:v>
      </x:c>
      <x:c r="U231" t="str">
        <x:f>IF(AND(K231&gt;0,O231="Paid"),"REFUND STATUS","")</x:f>
      </x:c>
      <x:c r="V231" t="n">
        <x:f>IF(Q231&lt;&gt;"",1,0)+IF(R231&lt;&gt;"",1,0)+IF(S231&lt;&gt;"",1,0)+IF(ABS(T231)&gt;0.01,1,0)+IF(U231&lt;&gt;"",1,0)</x:f>
        <x:v>0</x:v>
      </x:c>
      <x:c r="W231" t="str">
        <x:f>IF(V231=0,"PASS","REVIEW")</x:f>
        <x:v>PASS</x:v>
      </x:c>
    </x:row>
    <x:row r="232">
      <x:c r="A232" t="str">
        <x:v>ORD-5231</x:v>
      </x:c>
      <x:c r="B232" s="26" t="n">
        <x:v>46161</x:v>
      </x:c>
      <x:c r="C232" t="str">
        <x:v>C-1029</x:v>
      </x:c>
      <x:c r="D232" t="str">
        <x:v>SKU-107</x:v>
      </x:c>
      <x:c r="E232" t="n">
        <x:v>3</x:v>
      </x:c>
      <x:c r="F232" s="24" t="n">
        <x:v>9</x:v>
      </x:c>
      <x:c r="G232" s="24" t="n">
        <x:v>27</x:v>
      </x:c>
      <x:c r="H232" s="24" t="n">
        <x:v>0</x:v>
      </x:c>
      <x:c r="I232" s="24" t="n">
        <x:v>1.62</x:v>
      </x:c>
      <x:c r="J232" s="24" t="n">
        <x:v>6.95</x:v>
      </x:c>
      <x:c r="K232" s="24" t="n">
        <x:v>0</x:v>
      </x:c>
      <x:c r="L232" s="24" t="n">
        <x:v>1.33</x:v>
      </x:c>
      <x:c r="M232" s="24" t="n">
        <x:v>34.24</x:v>
      </x:c>
      <x:c r="N232" s="24" t="n">
        <x:v>34.24</x:v>
      </x:c>
      <x:c r="O232" t="str">
        <x:v>Paid</x:v>
      </x:c>
      <x:c r="P232" t="str">
        <x:v>In Transit</x:v>
      </x:c>
      <x:c r="Q232" t="str">
        <x:f>IF(COUNTIF($A$2:$A$241,A232)&gt;1,"DUPLICATE","")</x:f>
      </x:c>
      <x:c r="R232" t="str">
        <x:f>IF(OR(A232="",B232="",C232="",D232="",E232=""),"MISSING","")</x:f>
      </x:c>
      <x:c r="S232" t="str">
        <x:f>IF(COUNTIF('Product Master'!$A$2:$A$9,D232)=0,"INVALID SKU","")</x:f>
      </x:c>
      <x:c r="T232" s="24" t="n">
        <x:f>N232-M232</x:f>
        <x:v>0</x:v>
      </x:c>
      <x:c r="U232" t="str">
        <x:f>IF(AND(K232&gt;0,O232="Paid"),"REFUND STATUS","")</x:f>
      </x:c>
      <x:c r="V232" t="n">
        <x:f>IF(Q232&lt;&gt;"",1,0)+IF(R232&lt;&gt;"",1,0)+IF(S232&lt;&gt;"",1,0)+IF(ABS(T232)&gt;0.01,1,0)+IF(U232&lt;&gt;"",1,0)</x:f>
        <x:v>0</x:v>
      </x:c>
      <x:c r="W232" t="str">
        <x:f>IF(V232=0,"PASS","REVIEW")</x:f>
        <x:v>PASS</x:v>
      </x:c>
    </x:row>
    <x:row r="233">
      <x:c r="A233" t="str">
        <x:v>ORD-5232</x:v>
      </x:c>
      <x:c r="B233" s="26" t="n">
        <x:v>46162</x:v>
      </x:c>
      <x:c r="C233" t="str">
        <x:v>C-1030</x:v>
      </x:c>
      <x:c r="D233" t="str">
        <x:v>SKU-108</x:v>
      </x:c>
      <x:c r="E233" t="n">
        <x:v>1</x:v>
      </x:c>
      <x:c r="F233" s="24" t="n">
        <x:v>42</x:v>
      </x:c>
      <x:c r="G233" s="24" t="n">
        <x:v>42</x:v>
      </x:c>
      <x:c r="H233" s="24" t="n">
        <x:v>0</x:v>
      </x:c>
      <x:c r="I233" s="24" t="n">
        <x:v>2.52</x:v>
      </x:c>
      <x:c r="J233" s="24" t="n">
        <x:v>6.95</x:v>
      </x:c>
      <x:c r="K233" s="24" t="n">
        <x:v>0</x:v>
      </x:c>
      <x:c r="L233" s="24" t="n">
        <x:v>1.79</x:v>
      </x:c>
      <x:c r="M233" s="24" t="n">
        <x:v>49.68</x:v>
      </x:c>
      <x:c r="N233" s="24" t="n">
        <x:v>49.68</x:v>
      </x:c>
      <x:c r="O233" t="str">
        <x:v>Paid</x:v>
      </x:c>
      <x:c r="P233" t="str">
        <x:v>In Transit</x:v>
      </x:c>
      <x:c r="Q233" t="str">
        <x:f>IF(COUNTIF($A$2:$A$241,A233)&gt;1,"DUPLICATE","")</x:f>
      </x:c>
      <x:c r="R233" t="str">
        <x:f>IF(OR(A233="",B233="",C233="",D233="",E233=""),"MISSING","")</x:f>
      </x:c>
      <x:c r="S233" t="str">
        <x:f>IF(COUNTIF('Product Master'!$A$2:$A$9,D233)=0,"INVALID SKU","")</x:f>
      </x:c>
      <x:c r="T233" s="24" t="n">
        <x:f>N233-M233</x:f>
        <x:v>0</x:v>
      </x:c>
      <x:c r="U233" t="str">
        <x:f>IF(AND(K233&gt;0,O233="Paid"),"REFUND STATUS","")</x:f>
      </x:c>
      <x:c r="V233" t="n">
        <x:f>IF(Q233&lt;&gt;"",1,0)+IF(R233&lt;&gt;"",1,0)+IF(S233&lt;&gt;"",1,0)+IF(ABS(T233)&gt;0.01,1,0)+IF(U233&lt;&gt;"",1,0)</x:f>
        <x:v>0</x:v>
      </x:c>
      <x:c r="W233" t="str">
        <x:f>IF(V233=0,"PASS","REVIEW")</x:f>
        <x:v>PASS</x:v>
      </x:c>
    </x:row>
    <x:row r="234">
      <x:c r="A234" t="str">
        <x:v>ORD-5233</x:v>
      </x:c>
      <x:c r="B234" s="26" t="n">
        <x:v>46163</x:v>
      </x:c>
      <x:c r="C234" t="str">
        <x:v>C-1031</x:v>
      </x:c>
      <x:c r="D234" t="str">
        <x:v>SKU-101</x:v>
      </x:c>
      <x:c r="E234" t="n">
        <x:v>2</x:v>
      </x:c>
      <x:c r="F234" s="24" t="n">
        <x:v>24</x:v>
      </x:c>
      <x:c r="G234" s="24" t="n">
        <x:v>48</x:v>
      </x:c>
      <x:c r="H234" s="24" t="n">
        <x:v>0</x:v>
      </x:c>
      <x:c r="I234" s="24" t="n">
        <x:v>2.88</x:v>
      </x:c>
      <x:c r="J234" s="24" t="n">
        <x:v>6.95</x:v>
      </x:c>
      <x:c r="K234" s="24" t="n">
        <x:v>0</x:v>
      </x:c>
      <x:c r="L234" s="24" t="n">
        <x:v>1.98</x:v>
      </x:c>
      <x:c r="M234" s="24" t="n">
        <x:v>55.85</x:v>
      </x:c>
      <x:c r="N234" s="24" t="n">
        <x:v>55.85</x:v>
      </x:c>
      <x:c r="O234" t="str">
        <x:v>Paid</x:v>
      </x:c>
      <x:c r="P234" t="str">
        <x:v>In Transit</x:v>
      </x:c>
      <x:c r="Q234" t="str">
        <x:f>IF(COUNTIF($A$2:$A$241,A234)&gt;1,"DUPLICATE","")</x:f>
      </x:c>
      <x:c r="R234" t="str">
        <x:f>IF(OR(A234="",B234="",C234="",D234="",E234=""),"MISSING","")</x:f>
      </x:c>
      <x:c r="S234" t="str">
        <x:f>IF(COUNTIF('Product Master'!$A$2:$A$9,D234)=0,"INVALID SKU","")</x:f>
      </x:c>
      <x:c r="T234" s="24" t="n">
        <x:f>N234-M234</x:f>
        <x:v>0</x:v>
      </x:c>
      <x:c r="U234" t="str">
        <x:f>IF(AND(K234&gt;0,O234="Paid"),"REFUND STATUS","")</x:f>
      </x:c>
      <x:c r="V234" t="n">
        <x:f>IF(Q234&lt;&gt;"",1,0)+IF(R234&lt;&gt;"",1,0)+IF(S234&lt;&gt;"",1,0)+IF(ABS(T234)&gt;0.01,1,0)+IF(U234&lt;&gt;"",1,0)</x:f>
        <x:v>0</x:v>
      </x:c>
      <x:c r="W234" t="str">
        <x:f>IF(V234=0,"PASS","REVIEW")</x:f>
        <x:v>PASS</x:v>
      </x:c>
    </x:row>
    <x:row r="235">
      <x:c r="A235" t="str">
        <x:v>ORD-5234</x:v>
      </x:c>
      <x:c r="B235" s="26" t="n">
        <x:v>46164</x:v>
      </x:c>
      <x:c r="C235" t="str">
        <x:v>C-1032</x:v>
      </x:c>
      <x:c r="D235" t="str">
        <x:v>SKU-102</x:v>
      </x:c>
      <x:c r="E235" t="n">
        <x:v>3</x:v>
      </x:c>
      <x:c r="F235" s="24" t="n">
        <x:v>28</x:v>
      </x:c>
      <x:c r="G235" s="24" t="n">
        <x:v>84</x:v>
      </x:c>
      <x:c r="H235" s="24" t="n">
        <x:v>0</x:v>
      </x:c>
      <x:c r="I235" s="24" t="n">
        <x:v>5.04</x:v>
      </x:c>
      <x:c r="J235" s="24" t="n">
        <x:v>0</x:v>
      </x:c>
      <x:c r="K235" s="24" t="n">
        <x:v>0</x:v>
      </x:c>
      <x:c r="L235" s="24" t="n">
        <x:v>2.88</x:v>
      </x:c>
      <x:c r="M235" s="24" t="n">
        <x:v>86.16</x:v>
      </x:c>
      <x:c r="N235" s="24" t="n">
        <x:v>86.16</x:v>
      </x:c>
      <x:c r="O235" t="str">
        <x:v>Paid</x:v>
      </x:c>
      <x:c r="P235" t="str">
        <x:v>In Transit</x:v>
      </x:c>
      <x:c r="Q235" t="str">
        <x:f>IF(COUNTIF($A$2:$A$241,A235)&gt;1,"DUPLICATE","")</x:f>
      </x:c>
      <x:c r="R235" t="str">
        <x:f>IF(OR(A235="",B235="",C235="",D235="",E235=""),"MISSING","")</x:f>
      </x:c>
      <x:c r="S235" t="str">
        <x:f>IF(COUNTIF('Product Master'!$A$2:$A$9,D235)=0,"INVALID SKU","")</x:f>
      </x:c>
      <x:c r="T235" s="24" t="n">
        <x:f>N235-M235</x:f>
        <x:v>0</x:v>
      </x:c>
      <x:c r="U235" t="str">
        <x:f>IF(AND(K235&gt;0,O235="Paid"),"REFUND STATUS","")</x:f>
      </x:c>
      <x:c r="V235" t="n">
        <x:f>IF(Q235&lt;&gt;"",1,0)+IF(R235&lt;&gt;"",1,0)+IF(S235&lt;&gt;"",1,0)+IF(ABS(T235)&gt;0.01,1,0)+IF(U235&lt;&gt;"",1,0)</x:f>
        <x:v>0</x:v>
      </x:c>
      <x:c r="W235" t="str">
        <x:f>IF(V235=0,"PASS","REVIEW")</x:f>
        <x:v>PASS</x:v>
      </x:c>
    </x:row>
    <x:row r="236">
      <x:c r="A236" t="str">
        <x:v>ORD-5235</x:v>
      </x:c>
      <x:c r="B236" s="26" t="n">
        <x:v>46165</x:v>
      </x:c>
      <x:c r="C236" t="str">
        <x:v>C-1033</x:v>
      </x:c>
      <x:c r="D236" t="str">
        <x:v>SKU-103</x:v>
      </x:c>
      <x:c r="E236" t="n">
        <x:v>1</x:v>
      </x:c>
      <x:c r="F236" s="24" t="n">
        <x:v>16</x:v>
      </x:c>
      <x:c r="G236" s="24" t="n">
        <x:v>16</x:v>
      </x:c>
      <x:c r="H236" s="24" t="n">
        <x:v>1.6</x:v>
      </x:c>
      <x:c r="I236" s="24" t="n">
        <x:v>0.86</x:v>
      </x:c>
      <x:c r="J236" s="24" t="n">
        <x:v>6.95</x:v>
      </x:c>
      <x:c r="K236" s="24" t="n">
        <x:v>0</x:v>
      </x:c>
      <x:c r="L236" s="24" t="n">
        <x:v>0.94</x:v>
      </x:c>
      <x:c r="M236" s="24" t="n">
        <x:v>21.27</x:v>
      </x:c>
      <x:c r="N236" s="24" t="n">
        <x:v>21.27</x:v>
      </x:c>
      <x:c r="O236" t="str">
        <x:v>Paid</x:v>
      </x:c>
      <x:c r="P236" t="str">
        <x:v>In Transit</x:v>
      </x:c>
      <x:c r="Q236" t="str">
        <x:f>IF(COUNTIF($A$2:$A$241,A236)&gt;1,"DUPLICATE","")</x:f>
      </x:c>
      <x:c r="R236" t="str">
        <x:f>IF(OR(A236="",B236="",C236="",D236="",E236=""),"MISSING","")</x:f>
      </x:c>
      <x:c r="S236" t="str">
        <x:f>IF(COUNTIF('Product Master'!$A$2:$A$9,D236)=0,"INVALID SKU","")</x:f>
      </x:c>
      <x:c r="T236" s="24" t="n">
        <x:f>N236-M236</x:f>
        <x:v>0</x:v>
      </x:c>
      <x:c r="U236" t="str">
        <x:f>IF(AND(K236&gt;0,O236="Paid"),"REFUND STATUS","")</x:f>
      </x:c>
      <x:c r="V236" t="n">
        <x:f>IF(Q236&lt;&gt;"",1,0)+IF(R236&lt;&gt;"",1,0)+IF(S236&lt;&gt;"",1,0)+IF(ABS(T236)&gt;0.01,1,0)+IF(U236&lt;&gt;"",1,0)</x:f>
        <x:v>0</x:v>
      </x:c>
      <x:c r="W236" t="str">
        <x:f>IF(V236=0,"PASS","REVIEW")</x:f>
        <x:v>PASS</x:v>
      </x:c>
    </x:row>
    <x:row r="237">
      <x:c r="A237" t="str">
        <x:v>ORD-5236</x:v>
      </x:c>
      <x:c r="B237" s="26" t="n">
        <x:v>46166</x:v>
      </x:c>
      <x:c r="C237" t="str">
        <x:v>C-1034</x:v>
      </x:c>
      <x:c r="D237" t="str">
        <x:v>SKU-104</x:v>
      </x:c>
      <x:c r="E237" t="n">
        <x:v>2</x:v>
      </x:c>
      <x:c r="F237" s="24" t="n">
        <x:v>58</x:v>
      </x:c>
      <x:c r="G237" s="24" t="n">
        <x:v>116</x:v>
      </x:c>
      <x:c r="H237" s="24" t="n">
        <x:v>0</x:v>
      </x:c>
      <x:c r="I237" s="24" t="n">
        <x:v>6.96</x:v>
      </x:c>
      <x:c r="J237" s="24" t="n">
        <x:v>0</x:v>
      </x:c>
      <x:c r="K237" s="24" t="n">
        <x:v>0</x:v>
      </x:c>
      <x:c r="L237" s="24" t="n">
        <x:v>3.87</x:v>
      </x:c>
      <x:c r="M237" s="24" t="n">
        <x:v>119.09</x:v>
      </x:c>
      <x:c r="N237" s="24" t="n">
        <x:v>119.09</x:v>
      </x:c>
      <x:c r="O237" t="str">
        <x:v>Paid</x:v>
      </x:c>
      <x:c r="P237" t="str">
        <x:v>In Transit</x:v>
      </x:c>
      <x:c r="Q237" t="str">
        <x:f>IF(COUNTIF($A$2:$A$241,A237)&gt;1,"DUPLICATE","")</x:f>
      </x:c>
      <x:c r="R237" t="str">
        <x:f>IF(OR(A237="",B237="",C237="",D237="",E237=""),"MISSING","")</x:f>
      </x:c>
      <x:c r="S237" t="str">
        <x:f>IF(COUNTIF('Product Master'!$A$2:$A$9,D237)=0,"INVALID SKU","")</x:f>
      </x:c>
      <x:c r="T237" s="24" t="n">
        <x:f>N237-M237</x:f>
        <x:v>0</x:v>
      </x:c>
      <x:c r="U237" t="str">
        <x:f>IF(AND(K237&gt;0,O237="Paid"),"REFUND STATUS","")</x:f>
      </x:c>
      <x:c r="V237" t="n">
        <x:f>IF(Q237&lt;&gt;"",1,0)+IF(R237&lt;&gt;"",1,0)+IF(S237&lt;&gt;"",1,0)+IF(ABS(T237)&gt;0.01,1,0)+IF(U237&lt;&gt;"",1,0)</x:f>
        <x:v>0</x:v>
      </x:c>
      <x:c r="W237" t="str">
        <x:f>IF(V237=0,"PASS","REVIEW")</x:f>
        <x:v>PASS</x:v>
      </x:c>
    </x:row>
    <x:row r="238">
      <x:c r="A238" t="str">
        <x:v>ORD-5237</x:v>
      </x:c>
      <x:c r="B238" s="26" t="n">
        <x:v>46167</x:v>
      </x:c>
      <x:c r="C238" t="str">
        <x:v>C-1035</x:v>
      </x:c>
      <x:c r="D238" t="str">
        <x:v>SKU-105</x:v>
      </x:c>
      <x:c r="E238" t="n">
        <x:v>3</x:v>
      </x:c>
      <x:c r="F238" s="24" t="n">
        <x:v>32</x:v>
      </x:c>
      <x:c r="G238" s="24" t="n">
        <x:v>96</x:v>
      </x:c>
      <x:c r="H238" s="24" t="n">
        <x:v>0</x:v>
      </x:c>
      <x:c r="I238" s="24" t="n">
        <x:v>5.76</x:v>
      </x:c>
      <x:c r="J238" s="24" t="n">
        <x:v>0</x:v>
      </x:c>
      <x:c r="K238" s="24" t="n">
        <x:v>0</x:v>
      </x:c>
      <x:c r="L238" s="24" t="n">
        <x:v>3.25</x:v>
      </x:c>
      <x:c r="M238" s="24" t="n">
        <x:v>98.51</x:v>
      </x:c>
      <x:c r="N238" s="24" t="n">
        <x:v>98.51</x:v>
      </x:c>
      <x:c r="O238" t="str">
        <x:v>Paid</x:v>
      </x:c>
      <x:c r="P238" t="str">
        <x:v>In Transit</x:v>
      </x:c>
      <x:c r="Q238" t="str">
        <x:f>IF(COUNTIF($A$2:$A$241,A238)&gt;1,"DUPLICATE","")</x:f>
      </x:c>
      <x:c r="R238" t="str">
        <x:f>IF(OR(A238="",B238="",C238="",D238="",E238=""),"MISSING","")</x:f>
      </x:c>
      <x:c r="S238" t="str">
        <x:f>IF(COUNTIF('Product Master'!$A$2:$A$9,D238)=0,"INVALID SKU","")</x:f>
      </x:c>
      <x:c r="T238" s="24" t="n">
        <x:f>N238-M238</x:f>
        <x:v>0</x:v>
      </x:c>
      <x:c r="U238" t="str">
        <x:f>IF(AND(K238&gt;0,O238="Paid"),"REFUND STATUS","")</x:f>
      </x:c>
      <x:c r="V238" t="n">
        <x:f>IF(Q238&lt;&gt;"",1,0)+IF(R238&lt;&gt;"",1,0)+IF(S238&lt;&gt;"",1,0)+IF(ABS(T238)&gt;0.01,1,0)+IF(U238&lt;&gt;"",1,0)</x:f>
        <x:v>0</x:v>
      </x:c>
      <x:c r="W238" t="str">
        <x:f>IF(V238=0,"PASS","REVIEW")</x:f>
        <x:v>PASS</x:v>
      </x:c>
    </x:row>
    <x:row r="239">
      <x:c r="A239" t="str">
        <x:v>ORD-5238</x:v>
      </x:c>
      <x:c r="B239" s="26" t="n">
        <x:v>46168</x:v>
      </x:c>
      <x:c r="C239" t="str">
        <x:v>C-1036</x:v>
      </x:c>
      <x:c r="D239" t="str">
        <x:v>SKU-106</x:v>
      </x:c>
      <x:c r="E239" t="n">
        <x:v>1</x:v>
      </x:c>
      <x:c r="F239" s="24" t="n">
        <x:v>36</x:v>
      </x:c>
      <x:c r="G239" s="24" t="n">
        <x:v>36</x:v>
      </x:c>
      <x:c r="H239" s="24" t="n">
        <x:v>0</x:v>
      </x:c>
      <x:c r="I239" s="24" t="n">
        <x:v>2.16</x:v>
      </x:c>
      <x:c r="J239" s="24" t="n">
        <x:v>6.95</x:v>
      </x:c>
      <x:c r="K239" s="24" t="n">
        <x:v>0</x:v>
      </x:c>
      <x:c r="L239" s="24" t="n">
        <x:v>1.61</x:v>
      </x:c>
      <x:c r="M239" s="24" t="n">
        <x:v>43.5</x:v>
      </x:c>
      <x:c r="N239" s="24" t="n">
        <x:v>43.5</x:v>
      </x:c>
      <x:c r="O239" t="str">
        <x:v>Paid</x:v>
      </x:c>
      <x:c r="P239" t="str">
        <x:v>In Transit</x:v>
      </x:c>
      <x:c r="Q239" t="str">
        <x:f>IF(COUNTIF($A$2:$A$241,A239)&gt;1,"DUPLICATE","")</x:f>
      </x:c>
      <x:c r="R239" t="str">
        <x:f>IF(OR(A239="",B239="",C239="",D239="",E239=""),"MISSING","")</x:f>
      </x:c>
      <x:c r="S239" t="str">
        <x:f>IF(COUNTIF('Product Master'!$A$2:$A$9,D239)=0,"INVALID SKU","")</x:f>
      </x:c>
      <x:c r="T239" s="24" t="n">
        <x:f>N239-M239</x:f>
        <x:v>0</x:v>
      </x:c>
      <x:c r="U239" t="str">
        <x:f>IF(AND(K239&gt;0,O239="Paid"),"REFUND STATUS","")</x:f>
      </x:c>
      <x:c r="V239" t="n">
        <x:f>IF(Q239&lt;&gt;"",1,0)+IF(R239&lt;&gt;"",1,0)+IF(S239&lt;&gt;"",1,0)+IF(ABS(T239)&gt;0.01,1,0)+IF(U239&lt;&gt;"",1,0)</x:f>
        <x:v>0</x:v>
      </x:c>
      <x:c r="W239" t="str">
        <x:f>IF(V239=0,"PASS","REVIEW")</x:f>
        <x:v>PASS</x:v>
      </x:c>
    </x:row>
    <x:row r="240">
      <x:c r="A240" t="str">
        <x:v>ORD-5239</x:v>
      </x:c>
      <x:c r="B240" s="26" t="n">
        <x:v>46169</x:v>
      </x:c>
      <x:c r="C240" t="str">
        <x:v>C-1037</x:v>
      </x:c>
      <x:c r="D240" t="str">
        <x:v>SKU-107</x:v>
      </x:c>
      <x:c r="E240" t="n">
        <x:v>2</x:v>
      </x:c>
      <x:c r="F240" s="24" t="n">
        <x:v>9</x:v>
      </x:c>
      <x:c r="G240" s="24" t="n">
        <x:v>18</x:v>
      </x:c>
      <x:c r="H240" s="24" t="n">
        <x:v>0</x:v>
      </x:c>
      <x:c r="I240" s="24" t="n">
        <x:v>1.08</x:v>
      </x:c>
      <x:c r="J240" s="24" t="n">
        <x:v>6.95</x:v>
      </x:c>
      <x:c r="K240" s="24" t="n">
        <x:v>0</x:v>
      </x:c>
      <x:c r="L240" s="24" t="n">
        <x:v>1.05</x:v>
      </x:c>
      <x:c r="M240" s="24" t="n">
        <x:v>24.98</x:v>
      </x:c>
      <x:c r="N240" s="24" t="n">
        <x:v>24.98</x:v>
      </x:c>
      <x:c r="O240" t="str">
        <x:v>Paid</x:v>
      </x:c>
      <x:c r="P240" t="str">
        <x:v>In Transit</x:v>
      </x:c>
      <x:c r="Q240" t="str">
        <x:f>IF(COUNTIF($A$2:$A$241,A240)&gt;1,"DUPLICATE","")</x:f>
      </x:c>
      <x:c r="R240" t="str">
        <x:f>IF(OR(A240="",B240="",C240="",D240="",E240=""),"MISSING","")</x:f>
      </x:c>
      <x:c r="S240" t="str">
        <x:f>IF(COUNTIF('Product Master'!$A$2:$A$9,D240)=0,"INVALID SKU","")</x:f>
      </x:c>
      <x:c r="T240" s="24" t="n">
        <x:f>N240-M240</x:f>
        <x:v>0</x:v>
      </x:c>
      <x:c r="U240" t="str">
        <x:f>IF(AND(K240&gt;0,O240="Paid"),"REFUND STATUS","")</x:f>
      </x:c>
      <x:c r="V240" t="n">
        <x:f>IF(Q240&lt;&gt;"",1,0)+IF(R240&lt;&gt;"",1,0)+IF(S240&lt;&gt;"",1,0)+IF(ABS(T240)&gt;0.01,1,0)+IF(U240&lt;&gt;"",1,0)</x:f>
        <x:v>0</x:v>
      </x:c>
      <x:c r="W240" t="str">
        <x:f>IF(V240=0,"PASS","REVIEW")</x:f>
        <x:v>PASS</x:v>
      </x:c>
    </x:row>
    <x:row r="241">
      <x:c r="A241" t="str">
        <x:v>ORD-5240</x:v>
      </x:c>
      <x:c r="B241" s="26" t="n">
        <x:v>46170</x:v>
      </x:c>
      <x:c r="C241" t="str">
        <x:v>C-1038</x:v>
      </x:c>
      <x:c r="D241" t="str">
        <x:v>SKU-108</x:v>
      </x:c>
      <x:c r="E241" t="n">
        <x:v>3</x:v>
      </x:c>
      <x:c r="F241" s="24" t="n">
        <x:v>42</x:v>
      </x:c>
      <x:c r="G241" s="24" t="n">
        <x:v>126</x:v>
      </x:c>
      <x:c r="H241" s="24" t="n">
        <x:v>0</x:v>
      </x:c>
      <x:c r="I241" s="24" t="n">
        <x:v>7.56</x:v>
      </x:c>
      <x:c r="J241" s="24" t="n">
        <x:v>0</x:v>
      </x:c>
      <x:c r="K241" s="24" t="n">
        <x:v>0</x:v>
      </x:c>
      <x:c r="L241" s="24" t="n">
        <x:v>4.17</x:v>
      </x:c>
      <x:c r="M241" s="24" t="n">
        <x:v>129.39</x:v>
      </x:c>
      <x:c r="N241" s="24" t="n">
        <x:v>129.39</x:v>
      </x:c>
      <x:c r="O241" t="str">
        <x:v>Paid</x:v>
      </x:c>
      <x:c r="P241" t="str">
        <x:v>In Transit</x:v>
      </x:c>
      <x:c r="Q241" t="str">
        <x:f>IF(COUNTIF($A$2:$A$241,A241)&gt;1,"DUPLICATE","")</x:f>
      </x:c>
      <x:c r="R241" t="str">
        <x:f>IF(OR(A241="",B241="",C241="",D241="",E241=""),"MISSING","")</x:f>
      </x:c>
      <x:c r="S241" t="str">
        <x:f>IF(COUNTIF('Product Master'!$A$2:$A$9,D241)=0,"INVALID SKU","")</x:f>
      </x:c>
      <x:c r="T241" s="24" t="n">
        <x:f>N241-M241</x:f>
        <x:v>0</x:v>
      </x:c>
      <x:c r="U241" t="str">
        <x:f>IF(AND(K241&gt;0,O241="Paid"),"REFUND STATUS","")</x:f>
      </x:c>
      <x:c r="V241" t="n">
        <x:f>IF(Q241&lt;&gt;"",1,0)+IF(R241&lt;&gt;"",1,0)+IF(S241&lt;&gt;"",1,0)+IF(ABS(T241)&gt;0.01,1,0)+IF(U241&lt;&gt;"",1,0)</x:f>
        <x:v>0</x:v>
      </x:c>
      <x:c r="W241" t="str">
        <x:f>IF(V241=0,"PASS","REVIEW")</x:f>
        <x:v>PASS</x:v>
      </x:c>
    </x:row>
  </x:sheetData>
  <x:conditionalFormatting sqref="W2:W241">
    <x:cfRule type="expression" dxfId="0" priority="1">
      <x:formula>W2="REVIEW"</x:formula>
    </x:cfRule>
    <x:cfRule type="expression" dxfId="1" priority="2">
      <x:formula>W2="PASS"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</x:cols>
  <x:sheetData>
    <x:row r="1" ht="28" customHeight="1">
      <x:c r="A1" s="4" t="str">
        <x:v>Data Quality Exception Summary</x:v>
      </x:c>
    </x:row>
    <x:row r="3" ht="26" customHeight="1">
      <x:c r="A3" s="18" t="str">
        <x:v>Control</x:v>
      </x:c>
      <x:c r="B3" s="18" t="str">
        <x:v>Count</x:v>
      </x:c>
      <x:c r="C3" s="18" t="str">
        <x:v>Financial Exposure</x:v>
      </x:c>
      <x:c r="D3" s="18" t="str">
        <x:v>Target</x:v>
      </x:c>
      <x:c r="E3" s="18" t="str">
        <x:v>Status</x:v>
      </x:c>
    </x:row>
    <x:row r="4">
      <x:c r="A4" t="str">
        <x:v>Duplicate order IDs</x:v>
      </x:c>
      <x:c r="B4" t="n">
        <x:f>COUNTIF('Order Data'!Q2:Q241,"DUPLICATE")</x:f>
        <x:v>2</x:v>
      </x:c>
      <x:c r="C4" s="24" t="n">
        <x:f>SUMIFS('Order Data'!M2:M241,'Order Data'!Q2:Q241,"DUPLICATE")</x:f>
        <x:v>71.56</x:v>
      </x:c>
      <x:c r="D4" t="n">
        <x:v>0</x:v>
      </x:c>
      <x:c r="E4" t="str">
        <x:f>IF(B4=D4,"PASS","INVESTIGATE")</x:f>
        <x:v>INVESTIGATE</x:v>
      </x:c>
    </x:row>
    <x:row r="5">
      <x:c r="A5" t="str">
        <x:v>Missing required fields</x:v>
      </x:c>
      <x:c r="B5" t="n">
        <x:f>COUNTIF('Order Data'!R2:R241,"MISSING")</x:f>
        <x:v>1</x:v>
      </x:c>
      <x:c r="C5" s="24" t="n">
        <x:f>SUMIFS('Order Data'!M2:M241,'Order Data'!R2:R241,"MISSING")</x:f>
        <x:v>86.16</x:v>
      </x:c>
      <x:c r="D5" t="n">
        <x:v>0</x:v>
      </x:c>
      <x:c r="E5" t="str">
        <x:f>IF(B5=D5,"PASS","INVESTIGATE")</x:f>
        <x:v>INVESTIGATE</x:v>
      </x:c>
    </x:row>
    <x:row r="6">
      <x:c r="A6" t="str">
        <x:v>Invalid SKUs</x:v>
      </x:c>
      <x:c r="B6" t="n">
        <x:f>COUNTIF('Order Data'!S2:S241,"INVALID SKU")</x:f>
        <x:v>1</x:v>
      </x:c>
      <x:c r="C6" s="24" t="n">
        <x:f>SUMIFS('Order Data'!M2:M241,'Order Data'!S2:S241,"INVALID SKU")</x:f>
        <x:v>110.86</x:v>
      </x:c>
      <x:c r="D6" t="n">
        <x:v>0</x:v>
      </x:c>
      <x:c r="E6" t="str">
        <x:f>IF(B6=D6,"PASS","INVESTIGATE")</x:f>
        <x:v>INVESTIGATE</x:v>
      </x:c>
    </x:row>
    <x:row r="7">
      <x:c r="A7" t="str">
        <x:v>Settlement variances</x:v>
      </x:c>
      <x:c r="B7" t="n">
        <x:f>COUNTIF('Order Data'!T2:T241,"&lt;&gt;0")</x:f>
        <x:v>3</x:v>
      </x:c>
      <x:c r="C7" s="24" t="n">
        <x:f>ABS(SUMIF('Order Data'!T2:T241,"&lt;&gt;0",'Order Data'!T2:T241))</x:f>
        <x:v>37.5</x:v>
      </x:c>
      <x:c r="D7" t="n">
        <x:v>0</x:v>
      </x:c>
      <x:c r="E7" t="str">
        <x:f>IF(B7=D7,"PASS","INVESTIGATE")</x:f>
        <x:v>INVESTIGATE</x:v>
      </x:c>
    </x:row>
    <x:row r="8">
      <x:c r="A8" t="str">
        <x:v>Refund status issues</x:v>
      </x:c>
      <x:c r="B8" t="n">
        <x:f>COUNTIF('Order Data'!U2:U241,"REFUND STATUS")</x:f>
        <x:v>0</x:v>
      </x:c>
      <x:c r="C8" s="24" t="n">
        <x:f>SUMIFS('Order Data'!K2:K241,'Order Data'!U2:U241,"REFUND STATUS")</x:f>
        <x:v>0</x:v>
      </x:c>
      <x:c r="D8" t="n">
        <x:v>0</x:v>
      </x:c>
      <x:c r="E8" t="str">
        <x:f>IF(B8=D8,"PASS","INVESTIGATE")</x:f>
        <x:v>PASS</x:v>
      </x:c>
    </x:row>
  </x:sheetData>
  <x:mergeCells>
    <x:mergeCell ref="A1:E1"/>
  </x:mergeCells>
  <x:conditionalFormatting sqref="E4:E8">
    <x:cfRule type="expression" dxfId="2" priority="1">
      <x:formula>E4="INVESTIGATE"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28" customHeight="1">
      <x:c r="A1" s="4" t="str">
        <x:v>Monthly Settlement Reconciliation</x:v>
      </x:c>
    </x:row>
    <x:row r="3" ht="26" customHeight="1">
      <x:c r="A3" s="18" t="str">
        <x:v>Month</x:v>
      </x:c>
      <x:c r="B3" s="18" t="str">
        <x:v>Expected Net</x:v>
      </x:c>
      <x:c r="C3" s="18" t="str">
        <x:v>Recorded Settlement</x:v>
      </x:c>
      <x:c r="D3" s="18" t="str">
        <x:v>Difference</x:v>
      </x:c>
      <x:c r="E3" s="18" t="str">
        <x:v>Orders</x:v>
      </x:c>
      <x:c r="F3" s="18" t="str">
        <x:v>Status</x:v>
      </x:c>
    </x:row>
    <x:row r="4">
      <x:c r="A4" t="str">
        <x:v>Apr 2026</x:v>
      </x:c>
      <x:c r="B4" s="24" t="n">
        <x:f>SUMIFS('Order Data'!$M$2:$M$241,'Order Data'!$B$2:$B$241,"&gt;="&amp;DATE(2026,4,1),'Order Data'!$B$2:$B$241,"&lt;"&amp;DATE(2026,5,1))</x:f>
        <x:v>5805.44</x:v>
      </x:c>
      <x:c r="C4" s="24" t="n">
        <x:f>SUMIFS('Order Data'!$N$2:$N$241,'Order Data'!$B$2:$B$241,"&gt;="&amp;DATE(2026,4,1),'Order Data'!$B$2:$B$241,"&lt;"&amp;DATE(2026,5,1))</x:f>
        <x:v>5817.94</x:v>
      </x:c>
      <x:c r="D4" s="24" t="n">
        <x:f>C4-B4</x:f>
        <x:v>12.5</x:v>
      </x:c>
      <x:c r="E4" s="31" t="n">
        <x:f>COUNTIFS('Order Data'!$B$2:$B$241,"&gt;="&amp;DATE(2026,4,1),'Order Data'!$B$2:$B$241,"&lt;"&amp;DATE(2026,5,1))</x:f>
        <x:v>90</x:v>
      </x:c>
      <x:c r="F4" t="str">
        <x:f>IF(ABS(D4)&lt;0.01,"MATCH","INVESTIGATE")</x:f>
        <x:v>INVESTIGATE</x:v>
      </x:c>
    </x:row>
    <x:row r="5">
      <x:c r="A5" t="str">
        <x:v>May 2026</x:v>
      </x:c>
      <x:c r="B5" s="24" t="n">
        <x:f>SUMIFS('Order Data'!$M$2:$M$241,'Order Data'!$B$2:$B$241,"&gt;="&amp;DATE(2026,5,1),'Order Data'!$B$2:$B$241,"&lt;"&amp;DATE(2026,6,1))</x:f>
        <x:v>5828.740000011574</x:v>
      </x:c>
      <x:c r="C5" s="24" t="n">
        <x:f>SUMIFS('Order Data'!$N$2:$N$241,'Order Data'!$B$2:$B$241,"&gt;="&amp;DATE(2026,5,1),'Order Data'!$B$2:$B$241,"&lt;"&amp;DATE(2026,6,1))</x:f>
        <x:v>5853.74</x:v>
      </x:c>
      <x:c r="D5" s="24" t="n">
        <x:f>C5-B5</x:f>
        <x:v>24.99999999999909</x:v>
      </x:c>
      <x:c r="E5" s="31" t="n">
        <x:f>COUNTIFS('Order Data'!$B$2:$B$241,"&gt;="&amp;DATE(2026,5,1),'Order Data'!$B$2:$B$241,"&lt;"&amp;DATE(2026,6,1))</x:f>
        <x:v>90</x:v>
      </x:c>
      <x:c r="F5" t="str">
        <x:f>IF(ABS(D5)&lt;0.01,"MATCH","INVESTIGATE")</x:f>
        <x:v>INVESTIGATE</x:v>
      </x:c>
    </x:row>
    <x:row r="6">
      <x:c r="A6" t="str">
        <x:v>Jun 2026</x:v>
      </x:c>
      <x:c r="B6" s="24" t="n">
        <x:f>SUMIFS('Order Data'!$M$2:$M$241,'Order Data'!$B$2:$B$241,"&gt;="&amp;DATE(2026,6,1),'Order Data'!$B$2:$B$241,"&lt;"&amp;DATE(2026,7,1))</x:f>
        <x:v>3915.26</x:v>
      </x:c>
      <x:c r="C6" s="24" t="n">
        <x:f>SUMIFS('Order Data'!$N$2:$N$241,'Order Data'!$B$2:$B$241,"&gt;="&amp;DATE(2026,6,1),'Order Data'!$B$2:$B$241,"&lt;"&amp;DATE(2026,7,1))</x:f>
        <x:v>3915.26</x:v>
      </x:c>
      <x:c r="D6" s="24" t="n">
        <x:f>C6-B6</x:f>
        <x:v>0</x:v>
      </x:c>
      <x:c r="E6" s="31" t="n">
        <x:f>COUNTIFS('Order Data'!$B$2:$B$241,"&gt;="&amp;DATE(2026,6,1),'Order Data'!$B$2:$B$241,"&lt;"&amp;DATE(2026,7,1))</x:f>
        <x:v>60</x:v>
      </x:c>
      <x:c r="F6" t="str">
        <x:f>IF(ABS(D6)&lt;0.01,"MATCH","INVESTIGATE")</x:f>
        <x:v>MATCH</x:v>
      </x:c>
    </x:row>
    <x:row r="7">
      <x:c r="A7" s="9" t="str">
        <x:v>Q2 TOTAL</x:v>
      </x:c>
      <x:c r="B7" s="28" t="n">
        <x:f>SUM(B4:B6)</x:f>
        <x:v>15549.440000000004</x:v>
      </x:c>
      <x:c r="C7" s="28" t="n">
        <x:f>SUM(C4:C6)</x:f>
        <x:v>15586.940000000002</x:v>
      </x:c>
      <x:c r="D7" s="28" t="n">
        <x:f>SUM(D4:D6)</x:f>
        <x:v>37.49999999999909</x:v>
      </x:c>
      <x:c r="E7" s="32" t="n">
        <x:f>SUM(E4:E6)</x:f>
        <x:v>240</x:v>
      </x:c>
      <x:c r="F7" s="9" t="str">
        <x:f>IF(ABS(D7)&lt;0.01,"MATCH","INVESTIGATE")</x:f>
        <x:v>INVESTIGATE</x:v>
      </x:c>
    </x:row>
  </x:sheetData>
  <x:mergeCells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.630000114440918" hidden="0" customWidth="1"/>
    <x:col min="3" max="3" width="16.5" hidden="0" customWidth="1"/>
    <x:col min="4" max="4" width="10.25" hidden="0" customWidth="1"/>
    <x:col min="5" max="5" width="18.3799991607666" hidden="0" customWidth="1"/>
    <x:col min="6" max="6" width="10.5" hidden="0" customWidth="1"/>
    <x:col min="7" max="7" width="9.880000114440918" hidden="0" customWidth="1"/>
    <x:col min="8" max="8" width="11.130000114440918" hidden="0" customWidth="1"/>
  </x:cols>
  <x:sheetData>
    <x:row r="1" ht="28" customHeight="1">
      <x:c r="A1" s="4" t="str">
        <x:v>E-Commerce Financial Data Quality Dashboard</x:v>
      </x:c>
    </x:row>
    <x:row r="3" ht="26" customHeight="1">
      <x:c r="A3" s="18" t="str">
        <x:v>Orders</x:v>
      </x:c>
      <x:c r="B3" s="18" t="str">
        <x:v>Expected Net</x:v>
      </x:c>
      <x:c r="C3" s="18" t="str">
        <x:v>Recorded Settlement</x:v>
      </x:c>
      <x:c r="D3" s="18" t="str">
        <x:v>Net Variance</x:v>
      </x:c>
      <x:c r="E3" s="18" t="str">
        <x:v>Orders Needing Review</x:v>
      </x:c>
      <x:c r="F3" s="18" t="str">
        <x:v>Duplicate IDs</x:v>
      </x:c>
      <x:c r="G3" s="18" t="str">
        <x:v>Invalid SKUs</x:v>
      </x:c>
      <x:c r="H3" s="18" t="str">
        <x:v>Missing Fields</x:v>
      </x:c>
    </x:row>
    <x:row r="4">
      <x:c r="A4" t="n">
        <x:f>COUNTA('Order Data'!A2:A241)</x:f>
        <x:v>240</x:v>
      </x:c>
      <x:c r="B4" s="24" t="n">
        <x:f>SUM('Order Data'!M2:M241)</x:f>
        <x:v>15549.439999999995</x:v>
      </x:c>
      <x:c r="C4" s="24" t="n">
        <x:f>SUM('Order Data'!N2:N241)</x:f>
        <x:v>15586.939999999995</x:v>
      </x:c>
      <x:c r="D4" s="24" t="n">
        <x:f>C4-B4</x:f>
        <x:v>37.5</x:v>
      </x:c>
      <x:c r="E4" t="n">
        <x:f>COUNTIF('Order Data'!W2:W241,"REVIEW")</x:f>
        <x:v>7</x:v>
      </x:c>
      <x:c r="F4" t="n">
        <x:f>COUNTIF('Order Data'!Q2:Q241,"DUPLICATE")</x:f>
        <x:v>2</x:v>
      </x:c>
      <x:c r="G4" t="n">
        <x:f>COUNTIF('Order Data'!S2:S241,"INVALID SKU")</x:f>
        <x:v>1</x:v>
      </x:c>
      <x:c r="H4" t="n">
        <x:f>COUNTIF('Order Data'!R2:R241,"MISSING")</x:f>
        <x:v>1</x:v>
      </x:c>
    </x:row>
    <x:row r="7">
      <x:c r="A7" s="35" t="str">
        <x:v>Audit Check</x:v>
      </x:c>
      <x:c r="B7" s="35" t="str">
        <x:v>Source</x:v>
      </x:c>
      <x:c r="C7" s="35" t="str">
        <x:v>Control</x:v>
      </x:c>
      <x:c r="D7" s="35" t="str">
        <x:v>Difference</x:v>
      </x:c>
      <x:c r="E7" s="35" t="str">
        <x:v>Status</x:v>
      </x:c>
      <x:c r="F7"/>
    </x:row>
    <x:row r="8">
      <x:c r="A8" s="43" t="str">
        <x:v>Order count</x:v>
      </x:c>
      <x:c r="B8" s="44" t="n">
        <x:f>COUNTA('Order Data'!$A$2:$A$241)</x:f>
        <x:v>240</x:v>
      </x:c>
      <x:c r="C8" s="44" t="n">
        <x:f>A4</x:f>
        <x:v>240</x:v>
      </x:c>
      <x:c r="D8" s="44" t="n">
        <x:f>B8-C8</x:f>
        <x:v>0</x:v>
      </x:c>
      <x:c r="E8" s="43" t="str">
        <x:f>IF(D8=0,"PASS","REVIEW")</x:f>
        <x:v>PASS</x:v>
      </x:c>
      <x:c r="F8"/>
    </x:row>
    <x:row r="9">
      <x:c r="A9" s="45" t="str">
        <x:v>Expected-net tie-out</x:v>
      </x:c>
      <x:c r="B9" s="46" t="n">
        <x:f>SUM('Order Data'!$M$2:$M$241)</x:f>
        <x:v>15549.439999999995</x:v>
      </x:c>
      <x:c r="C9" s="46" t="n">
        <x:f>SUM('Settlement Reconciliation'!$B$4:$B$6)</x:f>
        <x:v>15549.440000000004</x:v>
      </x:c>
      <x:c r="D9" s="46" t="n">
        <x:f>B9-C9</x:f>
        <x:v>-9.094947017729282e-12</x:v>
      </x:c>
      <x:c r="E9" s="45" t="str">
        <x:f>IF(ABS(D9)&lt;0.01,"PASS","REVIEW")</x:f>
        <x:v>PASS</x:v>
      </x:c>
      <x:c r="F9"/>
    </x:row>
    <x:row r="10">
      <x:c r="A10" s="45" t="str">
        <x:v>Recorded-settlement tie-out</x:v>
      </x:c>
      <x:c r="B10" s="46" t="n">
        <x:f>SUM('Order Data'!$N$2:$N$241)</x:f>
        <x:v>15586.939999999995</x:v>
      </x:c>
      <x:c r="C10" s="46" t="n">
        <x:f>SUM('Settlement Reconciliation'!$C$4:$C$6)</x:f>
        <x:v>15586.940000000002</x:v>
      </x:c>
      <x:c r="D10" s="46" t="n">
        <x:f>B10-C10</x:f>
        <x:v>-7.275957614183426e-12</x:v>
      </x:c>
      <x:c r="E10" s="45" t="str">
        <x:f>IF(ABS(D10)&lt;0.01,"PASS","REVIEW")</x:f>
        <x:v>PASS</x:v>
      </x:c>
      <x:c r="F10"/>
    </x:row>
    <x:row r="11">
      <x:c r="A11" s="45" t="str">
        <x:v>Duplicate IDs</x:v>
      </x:c>
      <x:c r="B11" s="47" t="n">
        <x:f>'Exception Summary'!B4</x:f>
        <x:v>2</x:v>
      </x:c>
      <x:c r="C11" s="47" t="n">
        <x:f>F4</x:f>
        <x:v>2</x:v>
      </x:c>
      <x:c r="D11" s="47" t="n">
        <x:f>B11-C11</x:f>
        <x:v>0</x:v>
      </x:c>
      <x:c r="E11" s="45" t="str">
        <x:f>IF(D11=0,"PASS","REVIEW")</x:f>
        <x:v>PASS</x:v>
      </x:c>
      <x:c r="F11"/>
    </x:row>
    <x:row r="12">
      <x:c r="A12" s="45" t="str">
        <x:v>Invalid SKUs</x:v>
      </x:c>
      <x:c r="B12" s="47" t="n">
        <x:f>'Exception Summary'!B6</x:f>
        <x:v>1</x:v>
      </x:c>
      <x:c r="C12" s="47" t="n">
        <x:f>G4</x:f>
        <x:v>1</x:v>
      </x:c>
      <x:c r="D12" s="47" t="n">
        <x:f>B12-C12</x:f>
        <x:v>0</x:v>
      </x:c>
      <x:c r="E12" s="45" t="str">
        <x:f>IF(D12=0,"PASS","REVIEW")</x:f>
        <x:v>PASS</x:v>
      </x:c>
      <x:c r="F12"/>
    </x:row>
    <x:row r="13">
      <x:c r="A13" s="48" t="str">
        <x:v>Missing required fields</x:v>
      </x:c>
      <x:c r="B13" s="49" t="n">
        <x:f>'Exception Summary'!B5</x:f>
        <x:v>1</x:v>
      </x:c>
      <x:c r="C13" s="49" t="n">
        <x:f>H4</x:f>
        <x:v>1</x:v>
      </x:c>
      <x:c r="D13" s="49" t="n">
        <x:f>B13-C13</x:f>
        <x:v>0</x:v>
      </x:c>
      <x:c r="E13" s="48" t="str">
        <x:f>IF(D13=0,"PASS","REVIEW")</x:f>
        <x:v>PASS</x:v>
      </x:c>
      <x:c r="F13"/>
    </x:row>
  </x:sheetData>
  <x:mergeCells>
    <x:mergeCell ref="A1:H1"/>
  </x:mergeCells>
  <x:conditionalFormatting sqref="E8:E13">
    <x:cfRule type="expression" dxfId="3" priority="1">
      <x:formula>E8="PASS"</x:formula>
    </x:cfRule>
    <x:cfRule type="expression" dxfId="4" priority="2">
      <x:formula>E8="REVIEW"</x:formula>
    </x:cfRule>
  </x:conditionalFormatting>
  <x:pageMargins left="0.7" right="0.7" top="0.75" bottom="0.75" header="0.3" footer="0.3"/>
  <x:drawing xmlns:r="http://schemas.openxmlformats.org/officeDocument/2006/relationships" r:id="R9c660b1724314467"/>
</x:worksheet>
</file>